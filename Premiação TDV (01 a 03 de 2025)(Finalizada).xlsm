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0" codeName="{899C9086-67A9-5B14-2C2D-5A8001700F7D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3CE75C8-C589-450A-9391-74B2D437935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Vendas" sheetId="1" r:id="rId1"/>
    <sheet name="Gráfico" sheetId="4" r:id="rId2"/>
    <sheet name="Configurações" sheetId="2" r:id="rId3"/>
  </sheets>
  <definedNames>
    <definedName name="_xlcn.WorksheetConnection_TimedevendasTDV2025.xlsmTabela5" hidden="1">Tabela5</definedName>
    <definedName name="_xlcn.WorksheetConnection_TimedevendasTDV2025Copia.xlsmTabela1" hidden="1">Tabela1[]</definedName>
  </definedNames>
  <calcPr calcId="191029"/>
  <pivotCaches>
    <pivotCache cacheId="47" r:id="rId4"/>
    <pivotCache cacheId="51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5" name="Tabela5" connection="WorksheetConnection_Time de vendas (TDV 2025).xlsm!Tabela5"/>
          <x15:modelTable id="Tabela1" name="Tabela1" connection="WorksheetConnection_Time de vendas (TDV 2025) - Copia.xlsm!Tabe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5" i="1" l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E5" i="2"/>
  <c r="F5" i="2" s="1" a="1"/>
  <c r="F5" i="2" s="1"/>
  <c r="D5" i="2"/>
  <c r="K20" i="1" s="1"/>
  <c r="D6" i="2"/>
  <c r="K21" i="1" s="1"/>
  <c r="D7" i="2"/>
  <c r="K22" i="1" s="1"/>
  <c r="D8" i="2"/>
  <c r="K23" i="1" s="1"/>
  <c r="D9" i="2"/>
  <c r="K24" i="1" s="1"/>
  <c r="D10" i="2"/>
  <c r="K25" i="1" s="1"/>
  <c r="D11" i="2"/>
  <c r="K26" i="1" s="1"/>
  <c r="D12" i="2"/>
  <c r="K27" i="1" s="1"/>
  <c r="D13" i="2"/>
  <c r="K28" i="1" s="1"/>
  <c r="D14" i="2"/>
  <c r="K29" i="1" s="1"/>
  <c r="D15" i="2"/>
  <c r="K30" i="1" s="1"/>
  <c r="D16" i="2"/>
  <c r="K31" i="1" s="1"/>
  <c r="D17" i="2"/>
  <c r="K32" i="1" s="1"/>
  <c r="E17" i="2"/>
  <c r="F17" i="2" s="1" a="1"/>
  <c r="F17" i="2" s="1"/>
  <c r="E16" i="2"/>
  <c r="F16" i="2" s="1" a="1"/>
  <c r="F16" i="2" s="1"/>
  <c r="E15" i="2"/>
  <c r="F15" i="2" s="1" a="1"/>
  <c r="F15" i="2" s="1"/>
  <c r="E14" i="2"/>
  <c r="G14" i="2" s="1" a="1"/>
  <c r="G14" i="2" s="1"/>
  <c r="N29" i="1" s="1"/>
  <c r="E13" i="2"/>
  <c r="G13" i="2" s="1" a="1"/>
  <c r="G13" i="2" s="1"/>
  <c r="N28" i="1" s="1"/>
  <c r="E12" i="2"/>
  <c r="G12" i="2" s="1" a="1"/>
  <c r="G12" i="2" s="1"/>
  <c r="N27" i="1" s="1"/>
  <c r="E10" i="2"/>
  <c r="F10" i="2" s="1" a="1"/>
  <c r="F10" i="2" s="1"/>
  <c r="E8" i="2"/>
  <c r="G8" i="2" s="1" a="1"/>
  <c r="G8" i="2" s="1"/>
  <c r="N23" i="1" s="1"/>
  <c r="E7" i="2"/>
  <c r="F7" i="2" s="1" a="1"/>
  <c r="F7" i="2" s="1"/>
  <c r="E6" i="2"/>
  <c r="G6" i="2" s="1" a="1"/>
  <c r="G6" i="2" s="1"/>
  <c r="N21" i="1" s="1"/>
  <c r="E11" i="2"/>
  <c r="G11" i="2" s="1" a="1"/>
  <c r="G11" i="2" s="1"/>
  <c r="N26" i="1" s="1"/>
  <c r="E9" i="2"/>
  <c r="G9" i="2" s="1" a="1"/>
  <c r="G9" i="2" s="1"/>
  <c r="N24" i="1" s="1"/>
  <c r="C5" i="2"/>
  <c r="J20" i="1" s="1"/>
  <c r="C6" i="2"/>
  <c r="J21" i="1" s="1"/>
  <c r="C7" i="2"/>
  <c r="J22" i="1" s="1"/>
  <c r="C8" i="2"/>
  <c r="J23" i="1" s="1"/>
  <c r="C9" i="2"/>
  <c r="J24" i="1" s="1"/>
  <c r="C10" i="2"/>
  <c r="J25" i="1" s="1"/>
  <c r="C11" i="2"/>
  <c r="J26" i="1" s="1"/>
  <c r="C12" i="2"/>
  <c r="J27" i="1" s="1"/>
  <c r="C13" i="2"/>
  <c r="J28" i="1" s="1"/>
  <c r="C14" i="2"/>
  <c r="J29" i="1" s="1"/>
  <c r="C15" i="2"/>
  <c r="J30" i="1" s="1"/>
  <c r="C16" i="2"/>
  <c r="J31" i="1" s="1"/>
  <c r="C17" i="2"/>
  <c r="J32" i="1" s="1"/>
  <c r="C18" i="2"/>
  <c r="J33" i="1" s="1"/>
  <c r="F11" i="2" l="1" a="1"/>
  <c r="F11" i="2" s="1"/>
  <c r="M26" i="1" s="1"/>
  <c r="F8" i="2" a="1"/>
  <c r="F8" i="2" s="1"/>
  <c r="M23" i="1" s="1"/>
  <c r="F13" i="2" a="1"/>
  <c r="F13" i="2" s="1"/>
  <c r="M28" i="1" s="1"/>
  <c r="F9" i="2" a="1"/>
  <c r="F9" i="2" s="1"/>
  <c r="M24" i="1" s="1"/>
  <c r="F6" i="2" a="1"/>
  <c r="F6" i="2" s="1"/>
  <c r="M21" i="1" s="1"/>
  <c r="F14" i="2" a="1"/>
  <c r="F14" i="2" s="1"/>
  <c r="M29" i="1" s="1"/>
  <c r="M32" i="1"/>
  <c r="M31" i="1"/>
  <c r="M30" i="1"/>
  <c r="M25" i="1"/>
  <c r="M22" i="1"/>
  <c r="M20" i="1"/>
  <c r="L29" i="1"/>
  <c r="G15" i="2" a="1"/>
  <c r="G15" i="2" s="1"/>
  <c r="N30" i="1" s="1"/>
  <c r="L21" i="1"/>
  <c r="L25" i="1"/>
  <c r="L20" i="1"/>
  <c r="L28" i="1"/>
  <c r="L31" i="1"/>
  <c r="L27" i="1"/>
  <c r="L23" i="1"/>
  <c r="L32" i="1"/>
  <c r="L24" i="1"/>
  <c r="L30" i="1"/>
  <c r="L26" i="1"/>
  <c r="L22" i="1"/>
  <c r="F12" i="2" a="1"/>
  <c r="F12" i="2" s="1"/>
  <c r="M27" i="1" s="1"/>
  <c r="G16" i="2" a="1"/>
  <c r="G16" i="2" s="1"/>
  <c r="N31" i="1" s="1"/>
  <c r="G5" i="2" a="1"/>
  <c r="G5" i="2" s="1"/>
  <c r="N20" i="1" s="1"/>
  <c r="G7" i="2" a="1"/>
  <c r="G7" i="2" s="1"/>
  <c r="N22" i="1" s="1"/>
  <c r="G17" i="2" a="1"/>
  <c r="G17" i="2" s="1"/>
  <c r="N32" i="1" s="1"/>
  <c r="G10" i="2" a="1"/>
  <c r="G10" i="2" s="1"/>
  <c r="N25" i="1" s="1"/>
  <c r="D18" i="2"/>
  <c r="K3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AC3C6F-C6EE-406C-A946-B0EB025F42D5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729C65B-ADCD-4C20-BDEB-C4D9BF27650F}" name="WorksheetConnection_Time de vendas (TDV 2025) - Copia.xlsm!Tabela1" type="102" refreshedVersion="8" minRefreshableVersion="5">
    <extLst>
      <ext xmlns:x15="http://schemas.microsoft.com/office/spreadsheetml/2010/11/main" uri="{DE250136-89BD-433C-8126-D09CA5730AF9}">
        <x15:connection id="Tabela1">
          <x15:rangePr sourceName="_xlcn.WorksheetConnection_TimedevendasTDV2025Copia.xlsmTabela1"/>
        </x15:connection>
      </ext>
    </extLst>
  </connection>
  <connection id="3" xr16:uid="{97636508-7CE6-462A-BE08-D692E542FC3B}" name="WorksheetConnection_Time de vendas (TDV 2025).xlsm!Tabela5" type="102" refreshedVersion="8" minRefreshableVersion="5">
    <extLst>
      <ext xmlns:x15="http://schemas.microsoft.com/office/spreadsheetml/2010/11/main" uri="{DE250136-89BD-433C-8126-D09CA5730AF9}">
        <x15:connection id="Tabela5">
          <x15:rangePr sourceName="_xlcn.WorksheetConnection_TimedevendasTDV2025.xlsmTabela5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<sst xmlns="http://schemas.openxmlformats.org/spreadsheetml/2006/main" count="135" uniqueCount="47">
  <si>
    <t>Data</t>
  </si>
  <si>
    <t>Cliente</t>
  </si>
  <si>
    <t>Mês</t>
  </si>
  <si>
    <t>Tipo</t>
  </si>
  <si>
    <t>Valor</t>
  </si>
  <si>
    <t>Vida PM</t>
  </si>
  <si>
    <t>Vida PU</t>
  </si>
  <si>
    <t>Prestamista PM</t>
  </si>
  <si>
    <t>Prestamista PU</t>
  </si>
  <si>
    <t>PREV PM</t>
  </si>
  <si>
    <t>PREV PU</t>
  </si>
  <si>
    <t>RD PM</t>
  </si>
  <si>
    <t>RD PU</t>
  </si>
  <si>
    <t>CAP PM</t>
  </si>
  <si>
    <t>CAP PU</t>
  </si>
  <si>
    <t>Consórcio</t>
  </si>
  <si>
    <t>Rótulos de Linha</t>
  </si>
  <si>
    <t>Total Geral</t>
  </si>
  <si>
    <t>Soma de Valor</t>
  </si>
  <si>
    <t>(Tudo)</t>
  </si>
  <si>
    <t>Proposta</t>
  </si>
  <si>
    <t>Premiação</t>
  </si>
  <si>
    <t>Produto</t>
  </si>
  <si>
    <t xml:space="preserve">Premiação </t>
  </si>
  <si>
    <t>Rapidex PM</t>
  </si>
  <si>
    <t>Rapidex PU</t>
  </si>
  <si>
    <t>Gatilho Atual</t>
  </si>
  <si>
    <t>Próxima Premiação</t>
  </si>
  <si>
    <t>Próximo Gatilho em:</t>
  </si>
  <si>
    <t>Tipo de produto da planilha vendas</t>
  </si>
  <si>
    <t>(vazio)</t>
  </si>
  <si>
    <t>Premiação.</t>
  </si>
  <si>
    <t>Soma de Premiação.</t>
  </si>
  <si>
    <t>0</t>
  </si>
  <si>
    <t>8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</si>
  <si>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</si>
  <si>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</si>
  <si>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</si>
  <si>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</si>
  <si>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</si>
  <si>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</si>
  <si>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</si>
  <si>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</si>
  <si>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</si>
  <si>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</si>
  <si>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</si>
  <si>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Filtrar por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</si>
</sst>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4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rgb="FFBDD7EE"/>
        <bgColor rgb="FFBDD7EE"/>
      </patternFill>
    </fill>
    <fill>
      <patternFill patternType="solid">
        <fgColor theme="4"/>
        <bgColor rgb="FFDDEBF7"/>
      </patternFill>
    </fill>
    <fill>
      <patternFill patternType="solid">
        <fgColor theme="4"/>
        <bgColor rgb="FFBDD7EE"/>
      </patternFill>
    </fill>
    <fill>
      <patternFill patternType="solid">
        <fgColor theme="8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indexed="65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4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2" fillId="0" borderId="0" xfId="0" applyFont="1"/>
    <xf numFmtId="44" fontId="2" fillId="0" borderId="0" xfId="1" applyFont="1"/>
    <xf numFmtId="0" fontId="0" fillId="2" borderId="0" xfId="0" applyFill="1"/>
    <xf numFmtId="0" fontId="0" fillId="0" borderId="0" xfId="1" applyNumberFormat="1" applyFont="1"/>
    <xf numFmtId="44" fontId="4" fillId="0" borderId="0" xfId="1" applyFont="1" applyFill="1" applyAlignment="1">
      <alignment vertical="center"/>
    </xf>
    <xf numFmtId="0" fontId="0" fillId="3" borderId="0" xfId="0" applyFill="1" applyAlignment="1">
      <alignment horizontal="center"/>
    </xf>
    <xf numFmtId="44" fontId="0" fillId="3" borderId="0" xfId="1" applyFont="1" applyFill="1"/>
    <xf numFmtId="0" fontId="0" fillId="3" borderId="0" xfId="0" applyFill="1"/>
    <xf numFmtId="0" fontId="0" fillId="0" borderId="1" xfId="0" applyBorder="1"/>
    <xf numFmtId="14" fontId="8" fillId="4" borderId="3" xfId="0" applyNumberFormat="1" applyFont="1" applyFill="1" applyBorder="1"/>
    <xf numFmtId="0" fontId="8" fillId="4" borderId="4" xfId="0" applyFont="1" applyFill="1" applyBorder="1"/>
    <xf numFmtId="14" fontId="8" fillId="5" borderId="3" xfId="0" applyNumberFormat="1" applyFont="1" applyFill="1" applyBorder="1"/>
    <xf numFmtId="0" fontId="8" fillId="5" borderId="4" xfId="0" applyFont="1" applyFill="1" applyBorder="1"/>
    <xf numFmtId="14" fontId="8" fillId="4" borderId="6" xfId="0" applyNumberFormat="1" applyFont="1" applyFill="1" applyBorder="1"/>
    <xf numFmtId="0" fontId="8" fillId="4" borderId="7" xfId="0" applyFont="1" applyFill="1" applyBorder="1"/>
    <xf numFmtId="44" fontId="8" fillId="4" borderId="5" xfId="1" applyFont="1" applyFill="1" applyBorder="1"/>
    <xf numFmtId="44" fontId="8" fillId="5" borderId="5" xfId="1" applyFont="1" applyFill="1" applyBorder="1"/>
    <xf numFmtId="44" fontId="8" fillId="4" borderId="8" xfId="1" applyFont="1" applyFill="1" applyBorder="1"/>
    <xf numFmtId="0" fontId="6" fillId="3" borderId="0" xfId="0" applyFont="1" applyFill="1" applyAlignment="1">
      <alignment horizontal="left"/>
    </xf>
    <xf numFmtId="44" fontId="6" fillId="3" borderId="0" xfId="0" applyNumberFormat="1" applyFont="1" applyFill="1"/>
    <xf numFmtId="0" fontId="5" fillId="3" borderId="0" xfId="1" applyNumberFormat="1" applyFont="1" applyFill="1"/>
    <xf numFmtId="44" fontId="5" fillId="3" borderId="0" xfId="1" applyFont="1" applyFill="1"/>
    <xf numFmtId="44" fontId="0" fillId="0" borderId="0" xfId="1" applyFont="1" applyBorder="1"/>
    <xf numFmtId="0" fontId="2" fillId="0" borderId="0" xfId="0" applyFont="1" applyAlignment="1">
      <alignment vertical="center" wrapText="1"/>
    </xf>
    <xf numFmtId="2" fontId="0" fillId="0" borderId="0" xfId="0" applyNumberFormat="1" applyAlignment="1">
      <alignment horizontal="center"/>
    </xf>
    <xf numFmtId="0" fontId="7" fillId="0" borderId="0" xfId="0" applyFont="1" applyAlignment="1">
      <alignment vertical="center" wrapText="1"/>
    </xf>
    <xf numFmtId="0" fontId="8" fillId="6" borderId="4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44" fontId="0" fillId="8" borderId="0" xfId="1" applyFont="1" applyFill="1"/>
    <xf numFmtId="0" fontId="6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 applyAlignment="1">
      <alignment horizontal="left"/>
    </xf>
    <xf numFmtId="44" fontId="6" fillId="8" borderId="0" xfId="0" applyNumberFormat="1" applyFont="1" applyFill="1"/>
    <xf numFmtId="0" fontId="5" fillId="8" borderId="0" xfId="1" applyNumberFormat="1" applyFont="1" applyFill="1"/>
    <xf numFmtId="44" fontId="5" fillId="8" borderId="0" xfId="1" applyFont="1" applyFill="1"/>
    <xf numFmtId="2" fontId="0" fillId="8" borderId="0" xfId="0" applyNumberFormat="1" applyFill="1" applyAlignment="1">
      <alignment horizontal="center"/>
    </xf>
    <xf numFmtId="44" fontId="0" fillId="8" borderId="0" xfId="0" applyNumberFormat="1" applyFill="1"/>
    <xf numFmtId="0" fontId="0" fillId="3" borderId="10" xfId="0" applyFill="1" applyBorder="1" applyAlignment="1">
      <alignment horizontal="left"/>
    </xf>
    <xf numFmtId="44" fontId="0" fillId="3" borderId="12" xfId="0" applyNumberFormat="1" applyFill="1" applyBorder="1"/>
    <xf numFmtId="0" fontId="0" fillId="3" borderId="2" xfId="0" applyFill="1" applyBorder="1"/>
    <xf numFmtId="0" fontId="0" fillId="3" borderId="11" xfId="0" applyFill="1" applyBorder="1"/>
    <xf numFmtId="44" fontId="0" fillId="0" borderId="13" xfId="0" applyNumberFormat="1" applyBorder="1"/>
    <xf numFmtId="0" fontId="0" fillId="0" borderId="13" xfId="0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44" fontId="0" fillId="0" borderId="0" xfId="0" applyNumberFormat="1" applyBorder="1"/>
    <xf numFmtId="0" fontId="0" fillId="0" borderId="0" xfId="0" applyBorder="1" applyAlignment="1">
      <alignment horizontal="left"/>
    </xf>
  </cellXfs>
  <cellStyles count="2">
    <cellStyle name="Moeda" xfId="1" builtinId="4"/>
    <cellStyle name="Normal" xfId="0" builtinId="0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>
          <bgColor theme="4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8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8" tint="-0.49998474074526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8" tint="-0.499984740745262"/>
        </patternFill>
      </fill>
    </dxf>
    <dxf>
      <fill>
        <patternFill patternType="solid">
          <bgColor theme="8" tint="-0.499984740745262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4"/>
        </patternFill>
      </fill>
    </dxf>
    <dxf>
      <fill>
        <patternFill patternType="solid"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[Premiação TDV (01 a 03 de 2025).xlsm]Configurações!Tabela dinâmica2</c:name>
    <c:fmtId val="1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Configurações!$B$4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Configurações!$A$5:$A$19</c:f>
              <c:strCache>
                <c:ptCount val="14"/>
                <c:pt idx="0">
                  <c:v>CAP PM</c:v>
                </c:pt>
                <c:pt idx="1">
                  <c:v>CAP PU</c:v>
                </c:pt>
                <c:pt idx="2">
                  <c:v>Consórcio</c:v>
                </c:pt>
                <c:pt idx="3">
                  <c:v>Prestamista PM</c:v>
                </c:pt>
                <c:pt idx="4">
                  <c:v>Prestamista PU</c:v>
                </c:pt>
                <c:pt idx="5">
                  <c:v>PREV PM</c:v>
                </c:pt>
                <c:pt idx="6">
                  <c:v>PREV PU</c:v>
                </c:pt>
                <c:pt idx="7">
                  <c:v>Rapidex PM</c:v>
                </c:pt>
                <c:pt idx="8">
                  <c:v>Rapidex PU</c:v>
                </c:pt>
                <c:pt idx="9">
                  <c:v>RD PM</c:v>
                </c:pt>
                <c:pt idx="10">
                  <c:v>RD PU</c:v>
                </c:pt>
                <c:pt idx="11">
                  <c:v>Vida PM</c:v>
                </c:pt>
                <c:pt idx="12">
                  <c:v>Vida PU</c:v>
                </c:pt>
                <c:pt idx="13">
                  <c:v>(vazio)</c:v>
                </c:pt>
              </c:strCache>
            </c:strRef>
          </c:cat>
          <c:val>
            <c:numRef>
              <c:f>Configurações!$B$5:$B$19</c:f>
              <c:numCache>
                <c:formatCode>_("R$"* #,##0.00_);_("R$"* \(#,##0.00\);_("R$"*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5-44E5-992C-3D78B23BE04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55601583"/>
        <c:axId val="1055602063"/>
      </c:barChart>
      <c:catAx>
        <c:axId val="1055601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5602063"/>
        <c:crosses val="autoZero"/>
        <c:auto val="1"/>
        <c:lblAlgn val="ctr"/>
        <c:lblOffset val="100"/>
        <c:noMultiLvlLbl val="0"/>
      </c:catAx>
      <c:valAx>
        <c:axId val="105560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5601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[Premiação TDV (01 a 03 de 2025).xlsm]Configurações!Tabela dinâmica9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  <a:latin typeface="+mn-lt"/>
              </a:rPr>
              <a:t>Premiação Total</a:t>
            </a:r>
          </a:p>
        </c:rich>
      </c:tx>
      <c:layout>
        <c:manualLayout>
          <c:xMode val="edge"/>
          <c:yMode val="edge"/>
          <c:x val="0.21256946727345527"/>
          <c:y val="5.3693828044221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Configurações!$I$4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Configurações!$H$5:$H$18</c:f>
              <c:strCache>
                <c:ptCount val="13"/>
                <c:pt idx="0">
                  <c:v>CAP PM</c:v>
                </c:pt>
                <c:pt idx="1">
                  <c:v>CAP PU</c:v>
                </c:pt>
                <c:pt idx="2">
                  <c:v>Consórcio</c:v>
                </c:pt>
                <c:pt idx="3">
                  <c:v>Prestamista PM</c:v>
                </c:pt>
                <c:pt idx="4">
                  <c:v>Prestamista PU</c:v>
                </c:pt>
                <c:pt idx="5">
                  <c:v>PREV PM</c:v>
                </c:pt>
                <c:pt idx="6">
                  <c:v>PREV PU</c:v>
                </c:pt>
                <c:pt idx="7">
                  <c:v>Rapidex PM</c:v>
                </c:pt>
                <c:pt idx="8">
                  <c:v>Rapidex PU</c:v>
                </c:pt>
                <c:pt idx="9">
                  <c:v>RD PM</c:v>
                </c:pt>
                <c:pt idx="10">
                  <c:v>RD PU</c:v>
                </c:pt>
                <c:pt idx="11">
                  <c:v>Vida PM</c:v>
                </c:pt>
                <c:pt idx="12">
                  <c:v>Vida PU</c:v>
                </c:pt>
              </c:strCache>
            </c:strRef>
          </c:cat>
          <c:val>
            <c:numRef>
              <c:f>Configurações!$I$5:$I$18</c:f>
              <c:numCache>
                <c:formatCode>_("R$"* #,##0.00_);_("R$"* \(#,##0.00\);_("R$"*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E-4B25-AC18-639E4F69C1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17914159"/>
        <c:axId val="317905519"/>
      </c:barChart>
      <c:catAx>
        <c:axId val="317914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7905519"/>
        <c:crosses val="autoZero"/>
        <c:auto val="1"/>
        <c:lblAlgn val="ctr"/>
        <c:lblOffset val="100"/>
        <c:noMultiLvlLbl val="0"/>
      </c:catAx>
      <c:valAx>
        <c:axId val="317905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791415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1076325</xdr:colOff>
      <xdr:row>14</xdr:row>
      <xdr:rowOff>38100</xdr:rowOff>
    </xdr:from>
    <xdr:to>
      <xdr:col>11</xdr:col>
      <xdr:colOff>314325</xdr:colOff>
      <xdr:row>17</xdr:row>
      <xdr:rowOff>133350</xdr:rowOff>
    </xdr:to>
    <xdr:sp macro="[0]!Atualizar_Dados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05E003-C375-684B-FE70-5BEDAB09813D}"/>
            </a:ext>
          </a:extLst>
        </xdr:cNvPr>
        <xdr:cNvSpPr/>
      </xdr:nvSpPr>
      <xdr:spPr>
        <a:xfrm>
          <a:off x="7686675" y="228600"/>
          <a:ext cx="1714500" cy="666750"/>
        </a:xfrm>
        <a:prstGeom prst="round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kern="1200"/>
            <a:t>Atualizar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</xdr:colOff>
      <xdr:row>28</xdr:row>
      <xdr:rowOff>9525</xdr:rowOff>
    </xdr:from>
    <xdr:to>
      <xdr:col>22</xdr:col>
      <xdr:colOff>14287</xdr:colOff>
      <xdr:row>72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C40FBBE-8AF3-47DA-AEB1-0E7D70D0D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947737</xdr:colOff>
      <xdr:row>0</xdr:row>
      <xdr:rowOff>933450</xdr:rowOff>
    </xdr:from>
    <xdr:to>
      <xdr:col>21</xdr:col>
      <xdr:colOff>585788</xdr:colOff>
      <xdr:row>27</xdr:row>
      <xdr:rowOff>57150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668AD5B-AA1B-47A1-BA88-C8FD79F5DC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128587</xdr:colOff>
      <xdr:row>0</xdr:row>
      <xdr:rowOff>76200</xdr:rowOff>
    </xdr:from>
    <xdr:to>
      <xdr:col>12</xdr:col>
      <xdr:colOff>452437</xdr:colOff>
      <xdr:row>0</xdr:row>
      <xdr:rowOff>876300</xdr:rowOff>
    </xdr:to>
    <xdr:sp macro="[0]!Atualizar_Dados_Grafic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14E088D-A873-4FAC-9ABB-DC159B18B4FB}"/>
            </a:ext>
          </a:extLst>
        </xdr:cNvPr>
        <xdr:cNvSpPr/>
      </xdr:nvSpPr>
      <xdr:spPr>
        <a:xfrm>
          <a:off x="6567487" y="76200"/>
          <a:ext cx="1543050" cy="8001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kern="1200"/>
            <a:t>Atualizar Dados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1.56463E-7</cdr:x>
      <cdr:y>0.07316</cdr:y>
    </cdr:from>
    <cdr:to>
      <cdr:x>1</cdr:x>
      <cdr:y>0.13517</cdr:y>
    </cdr:to>
    <cdr:sp macro="" textlink="Vendas!$I$31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64FA7DA9-19C5-9C20-3668-C6E3A0FA675E}"/>
            </a:ext>
          </a:extLst>
        </cdr:cNvPr>
        <cdr:cNvSpPr txBox="1"/>
      </cdr:nvSpPr>
      <cdr:spPr>
        <a:xfrm xmlns:a="http://schemas.openxmlformats.org/drawingml/2006/main">
          <a:off x="2" y="367953"/>
          <a:ext cx="12782549" cy="3118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B38755C-DAB8-4189-A520-4876D641CEE4}" type="TxLink">
            <a:rPr lang="en-US" sz="1400" b="1" i="0" u="none" strike="noStrike" kern="1200">
              <a:solidFill>
                <a:srgbClr val="000000"/>
              </a:solidFill>
              <a:latin typeface="Calibri"/>
              <a:cs typeface="Calibri"/>
            </a:rPr>
            <a:pPr algn="ctr"/>
            <a:t> R$ -   </a:t>
          </a:fld>
          <a:endParaRPr lang="en-US" sz="1400" b="1" kern="1200"/>
        </a:p>
      </cdr:txBody>
    </cdr:sp>
  </cdr:relSizeAnchor>
  <cdr:relSizeAnchor xmlns:cdr="http://schemas.openxmlformats.org/drawingml/2006/chartDrawing">
    <cdr:from>
      <cdr:x>1.56463E-7</cdr:x>
      <cdr:y>0.0101</cdr:y>
    </cdr:from>
    <cdr:to>
      <cdr:x>1</cdr:x>
      <cdr:y>0.07211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604023D1-777C-F276-25A5-4334B0FE3BB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82549" cy="3118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 b="1" i="0" u="sng" strike="noStrike" kern="1200">
              <a:solidFill>
                <a:srgbClr val="000000"/>
              </a:solidFill>
              <a:latin typeface="Calibri"/>
              <a:cs typeface="Calibri"/>
            </a:rPr>
            <a:t>Premiação</a:t>
          </a:r>
          <a:r>
            <a:rPr lang="en-US" sz="1400" b="1" i="0" u="sng" strike="noStrike" kern="1200" baseline="0">
              <a:solidFill>
                <a:srgbClr val="000000"/>
              </a:solidFill>
              <a:latin typeface="Calibri"/>
              <a:cs typeface="Calibri"/>
            </a:rPr>
            <a:t> Total</a:t>
          </a:r>
        </a:p>
        <a:p xmlns:a="http://schemas.openxmlformats.org/drawingml/2006/main">
          <a:pPr algn="ctr"/>
          <a:endParaRPr lang="en-US" sz="1400" b="1" u="sng" kern="12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19</xdr:row>
      <xdr:rowOff>180975</xdr:rowOff>
    </xdr:from>
    <xdr:to>
      <xdr:col>22</xdr:col>
      <xdr:colOff>1114424</xdr:colOff>
      <xdr:row>28</xdr:row>
      <xdr:rowOff>152400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B5DFAC2B-C388-5EA0-82F8-16BB23ECA504}"/>
            </a:ext>
          </a:extLst>
        </xdr:cNvPr>
        <xdr:cNvGrpSpPr/>
      </xdr:nvGrpSpPr>
      <xdr:grpSpPr>
        <a:xfrm>
          <a:off x="57151" y="3800475"/>
          <a:ext cx="11715748" cy="1685925"/>
          <a:chOff x="57151" y="3800475"/>
          <a:chExt cx="11744323" cy="1685925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AE406EAB-1ED9-51D0-6398-E14530EB35D1}"/>
              </a:ext>
            </a:extLst>
          </xdr:cNvPr>
          <xdr:cNvSpPr/>
        </xdr:nvSpPr>
        <xdr:spPr>
          <a:xfrm>
            <a:off x="57151" y="3800475"/>
            <a:ext cx="5800724" cy="1676400"/>
          </a:xfrm>
          <a:prstGeom prst="round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4000" kern="1200">
                <a:solidFill>
                  <a:srgbClr val="FF0000"/>
                </a:solidFill>
              </a:rPr>
              <a:t>Não mexer</a:t>
            </a:r>
            <a:r>
              <a:rPr lang="pt-BR" sz="4000" kern="1200" baseline="0">
                <a:solidFill>
                  <a:srgbClr val="FF0000"/>
                </a:solidFill>
              </a:rPr>
              <a:t> nessa tabela de configuraçãoes</a:t>
            </a:r>
            <a:endParaRPr lang="pt-BR" sz="4000" kern="1200">
              <a:solidFill>
                <a:srgbClr val="FF0000"/>
              </a:solidFill>
            </a:endParaRPr>
          </a:p>
        </xdr:txBody>
      </xdr: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CC3452DA-3DF3-8AF5-9725-08D8E83EBCD6}"/>
              </a:ext>
            </a:extLst>
          </xdr:cNvPr>
          <xdr:cNvGrpSpPr/>
        </xdr:nvGrpSpPr>
        <xdr:grpSpPr>
          <a:xfrm>
            <a:off x="6000750" y="3810000"/>
            <a:ext cx="5800724" cy="1676400"/>
            <a:chOff x="6000750" y="3810000"/>
            <a:chExt cx="5800724" cy="1676400"/>
          </a:xfrm>
        </xdr:grpSpPr>
        <xdr:sp macro="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6B1C8685-DEBD-42CA-947E-2EDF86F1FF72}"/>
                </a:ext>
              </a:extLst>
            </xdr:cNvPr>
            <xdr:cNvSpPr/>
          </xdr:nvSpPr>
          <xdr:spPr>
            <a:xfrm>
              <a:off x="6000750" y="3810000"/>
              <a:ext cx="5800724" cy="1676400"/>
            </a:xfrm>
            <a:prstGeom prst="roundRect">
              <a:avLst/>
            </a:prstGeom>
            <a:solidFill>
              <a:schemeClr val="accent5">
                <a:lumMod val="5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4000" kern="1200">
                  <a:solidFill>
                    <a:srgbClr val="FF0000"/>
                  </a:solidFill>
                </a:rPr>
                <a:t>A atualização trimestral é na tabela da direita </a:t>
              </a:r>
            </a:p>
          </xdr:txBody>
        </xdr:sp>
        <xdr:pic>
          <xdr:nvPicPr>
            <xdr:cNvPr id="5" name="Gráfico 4" descr="Seta de linha: curva no sentido anti-horário com preenchimento sólido">
              <a:extLst>
                <a:ext uri="{FF2B5EF4-FFF2-40B4-BE49-F238E27FC236}">
                  <a16:creationId xmlns:a16="http://schemas.microsoft.com/office/drawing/2014/main" id="{1438BF67-FCDB-40B6-DAB3-7B99624B3E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 rot="5400000">
              <a:off x="10858500" y="4533900"/>
              <a:ext cx="914400" cy="914400"/>
            </a:xfrm>
            <a:prstGeom prst="rect">
              <a:avLst/>
            </a:prstGeom>
          </xdr:spPr>
        </xdr:pic>
      </xdr:grp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79.958886689812" createdVersion="8" refreshedVersion="8" minRefreshableVersion="3" recordCount="307" xr:uid="{56FCD23E-60FB-41AD-A902-9ED877745DE4}">
  <cacheSource type="worksheet">
    <worksheetSource name="Tabela1"/>
  </cacheSource>
  <cacheFields count="6">
    <cacheField name="Data" numFmtId="0">
      <sharedItems containsNonDate="0" containsDate="1" containsString="0" containsBlank="1" minDate="2025-01-01T00:00:00" maxDate="2025-01-02T00:00:00"/>
    </cacheField>
    <cacheField name="Mês" numFmtId="0">
      <sharedItems containsString="0" containsBlank="1" containsNumber="1" containsInteger="1" minValue="1" maxValue="3" count="4">
        <n v="1"/>
        <m/>
        <n v="2" u="1"/>
        <n v="3" u="1"/>
      </sharedItems>
    </cacheField>
    <cacheField name="Cliente" numFmtId="0">
      <sharedItems containsNonDate="0" containsString="0" containsBlank="1"/>
    </cacheField>
    <cacheField name="Proposta" numFmtId="0">
      <sharedItems containsNonDate="0" containsString="0" containsBlank="1"/>
    </cacheField>
    <cacheField name="Tipo" numFmtId="0">
      <sharedItems containsBlank="1" count="14">
        <s v="Vida PM"/>
        <s v="Vida PU"/>
        <s v="Prestamista PM"/>
        <s v="Prestamista PU"/>
        <s v="PREV PM"/>
        <s v="PREV PU"/>
        <s v="RD PM"/>
        <s v="RD PU"/>
        <s v="CAP PM"/>
        <s v="CAP PU"/>
        <s v="Consórcio"/>
        <s v="Rapidex PM"/>
        <s v="Rapidex PU"/>
        <m/>
      </sharedItems>
    </cacheField>
    <cacheField name="Valor" numFmtId="44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79.95888726852" createdVersion="8" refreshedVersion="8" minRefreshableVersion="3" recordCount="13" xr:uid="{715CD11E-EA62-4AA8-BBEB-E1F3DD70FDC7}">
  <cacheSource type="worksheet">
    <worksheetSource ref="C4:G17" sheet="Configurações"/>
  </cacheSource>
  <cacheFields count="5">
    <cacheField name="Produto" numFmtId="0">
      <sharedItems count="13">
        <s v="CAP PM"/>
        <s v="CAP PU"/>
        <s v="Consórcio"/>
        <s v="Prestamista PM"/>
        <s v="Prestamista PU"/>
        <s v="PREV PM"/>
        <s v="PREV PU"/>
        <s v="Rapidex PM"/>
        <s v="Rapidex PU"/>
        <s v="RD PM"/>
        <s v="RD PU"/>
        <s v="Vida PM"/>
        <s v="Vida PU"/>
      </sharedItems>
    </cacheField>
    <cacheField name="Premiação." numFmtId="44">
      <sharedItems containsSemiMixedTypes="0" containsString="0" containsNumber="1" containsInteger="1" minValue="0" maxValue="0"/>
    </cacheField>
    <cacheField name="Gatilho Atual" numFmtId="2">
      <sharedItems/>
    </cacheField>
    <cacheField name="Próximo Gatilho em:" numFmtId="44">
      <sharedItems containsSemiMixedTypes="0" containsString="0" containsNumber="1" containsInteger="1" minValue="30" maxValue="40000"/>
    </cacheField>
    <cacheField name="Próxima Premiação" numFmtId="44">
      <sharedItems containsSemiMixedTypes="0" containsString="0" containsNumber="1" minValue="2.5499999999999998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7">
  <r>
    <d v="2025-01-01T00:00:00"/>
    <x v="0"/>
    <m/>
    <m/>
    <x v="0"/>
    <n v="0"/>
  </r>
  <r>
    <d v="2025-01-01T00:00:00"/>
    <x v="0"/>
    <m/>
    <m/>
    <x v="1"/>
    <n v="0"/>
  </r>
  <r>
    <d v="2025-01-01T00:00:00"/>
    <x v="0"/>
    <m/>
    <m/>
    <x v="2"/>
    <n v="0"/>
  </r>
  <r>
    <d v="2025-01-01T00:00:00"/>
    <x v="0"/>
    <m/>
    <m/>
    <x v="3"/>
    <n v="0"/>
  </r>
  <r>
    <d v="2025-01-01T00:00:00"/>
    <x v="0"/>
    <m/>
    <m/>
    <x v="4"/>
    <n v="0"/>
  </r>
  <r>
    <d v="2025-01-01T00:00:00"/>
    <x v="0"/>
    <m/>
    <m/>
    <x v="5"/>
    <n v="0"/>
  </r>
  <r>
    <d v="2025-01-01T00:00:00"/>
    <x v="0"/>
    <m/>
    <m/>
    <x v="6"/>
    <n v="0"/>
  </r>
  <r>
    <d v="2025-01-01T00:00:00"/>
    <x v="0"/>
    <m/>
    <m/>
    <x v="7"/>
    <n v="0"/>
  </r>
  <r>
    <d v="2025-01-01T00:00:00"/>
    <x v="0"/>
    <m/>
    <m/>
    <x v="8"/>
    <n v="0"/>
  </r>
  <r>
    <d v="2025-01-01T00:00:00"/>
    <x v="0"/>
    <m/>
    <m/>
    <x v="9"/>
    <n v="0"/>
  </r>
  <r>
    <d v="2025-01-01T00:00:00"/>
    <x v="0"/>
    <m/>
    <m/>
    <x v="10"/>
    <n v="0"/>
  </r>
  <r>
    <d v="2025-01-01T00:00:00"/>
    <x v="0"/>
    <m/>
    <m/>
    <x v="11"/>
    <n v="0"/>
  </r>
  <r>
    <d v="2025-01-01T00:00:00"/>
    <x v="0"/>
    <m/>
    <m/>
    <x v="12"/>
    <n v="0"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1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  <r>
    <m/>
    <x v="0"/>
    <m/>
    <m/>
    <x v="1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n v="0"/>
    <s v="0"/>
    <n v="100"/>
    <n v="25"/>
  </r>
  <r>
    <x v="1"/>
    <n v="0"/>
    <s v="0"/>
    <n v="1200"/>
    <n v="4.8"/>
  </r>
  <r>
    <x v="2"/>
    <n v="0"/>
    <s v="0"/>
    <n v="40000"/>
    <n v="300"/>
  </r>
  <r>
    <x v="3"/>
    <n v="0"/>
    <s v="0"/>
    <n v="30"/>
    <n v="7.5"/>
  </r>
  <r>
    <x v="4"/>
    <n v="0"/>
    <s v="0"/>
    <n v="4000"/>
    <n v="100"/>
  </r>
  <r>
    <x v="5"/>
    <n v="0"/>
    <s v="0"/>
    <n v="300"/>
    <n v="2.5499999999999998"/>
  </r>
  <r>
    <x v="6"/>
    <n v="0"/>
    <s v="0"/>
    <n v="18000"/>
    <n v="8.1"/>
  </r>
  <r>
    <x v="7"/>
    <n v="0"/>
    <s v="0"/>
    <n v="110"/>
    <n v="18"/>
  </r>
  <r>
    <x v="8"/>
    <n v="0"/>
    <s v="0"/>
    <n v="600"/>
    <n v="30"/>
  </r>
  <r>
    <x v="9"/>
    <n v="0"/>
    <s v="0"/>
    <n v="50"/>
    <n v="50"/>
  </r>
  <r>
    <x v="10"/>
    <n v="0"/>
    <s v="0"/>
    <n v="700"/>
    <n v="36.4"/>
  </r>
  <r>
    <x v="11"/>
    <n v="0"/>
    <s v="0"/>
    <n v="100"/>
    <n v="35"/>
  </r>
  <r>
    <x v="12"/>
    <n v="0"/>
    <s v="0"/>
    <n v="500"/>
    <n v="8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4E2D86-9B7F-44A8-BF36-25F0DAF67AD0}" name="Tabela dinâmica10" cacheId="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9:I34" firstHeaderRow="1" firstDataRow="1" firstDataCol="1" rowPageCount="1" colPageCount="1"/>
  <pivotFields count="6">
    <pivotField numFmtId="14" showAll="0"/>
    <pivotField name="Filtrar por Mês" axis="axisPage" multipleItemSelectionAllowed="1" showAll="0">
      <items count="5">
        <item x="0"/>
        <item m="1" x="2"/>
        <item m="1" x="3"/>
        <item x="1"/>
        <item t="default"/>
      </items>
    </pivotField>
    <pivotField showAll="0"/>
    <pivotField showAll="0"/>
    <pivotField axis="axisRow" showAll="0">
      <items count="15">
        <item x="8"/>
        <item x="9"/>
        <item x="10"/>
        <item x="2"/>
        <item x="3"/>
        <item x="4"/>
        <item x="5"/>
        <item x="11"/>
        <item x="12"/>
        <item x="6"/>
        <item x="7"/>
        <item x="0"/>
        <item x="1"/>
        <item x="13"/>
        <item t="default"/>
      </items>
    </pivotField>
    <pivotField dataField="1" numFmtId="44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ageFields count="1">
    <pageField fld="1" hier="-1"/>
  </pageFields>
  <dataFields count="1">
    <dataField name="Soma de Valor" fld="5" baseField="0" baseItem="0" numFmtId="44"/>
  </dataFields>
  <formats count="10">
    <format dxfId="60">
      <pivotArea grandRow="1" outline="0" collapsedLevelsAreSubtotals="1" fieldPosition="0"/>
    </format>
    <format dxfId="59">
      <pivotArea dataOnly="0" labelOnly="1" grandRow="1" outline="0" fieldPosition="0"/>
    </format>
    <format dxfId="58">
      <pivotArea grandRow="1" outline="0" collapsedLevelsAreSubtotals="1" fieldPosition="0"/>
    </format>
    <format dxfId="57">
      <pivotArea dataOnly="0" labelOnly="1" grandRow="1" outline="0" fieldPosition="0"/>
    </format>
    <format dxfId="56">
      <pivotArea field="4" type="button" dataOnly="0" labelOnly="1" outline="0" axis="axisRow" fieldPosition="0"/>
    </format>
    <format dxfId="55">
      <pivotArea dataOnly="0" labelOnly="1" outline="0" axis="axisValues" fieldPosition="0"/>
    </format>
    <format dxfId="54">
      <pivotArea field="4" type="button" dataOnly="0" labelOnly="1" outline="0" axis="axisRow" fieldPosition="0"/>
    </format>
    <format dxfId="53">
      <pivotArea dataOnly="0" labelOnly="1" outline="0" axis="axisValues" fieldPosition="0"/>
    </format>
    <format dxfId="52">
      <pivotArea grandRow="1" outline="0" collapsedLevelsAreSubtotals="1" fieldPosition="0"/>
    </format>
    <format dxfId="5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4D33B-3F90-4900-9416-13DBF598BB12}" name="Tabela dinâmica9" cacheId="5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outline="1" outlineData="1" multipleFieldFilters="0" chartFormat="1" rowHeaderCaption="Produto">
  <location ref="H4:I18" firstHeaderRow="1" firstDataRow="1" firstDataCol="1"/>
  <pivotFields count="5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dataField="1" numFmtId="44" showAll="0"/>
    <pivotField showAll="0"/>
    <pivotField showAll="0"/>
    <pivotField numFmtId="44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a de Premiação." fld="1" baseField="0" baseItem="0" numFmtId="44"/>
  </dataFields>
  <formats count="19">
    <format dxfId="36">
      <pivotArea dataOnly="0" labelOnly="1" outline="0" fieldPosition="0">
        <references count="1">
          <reference field="0" count="1" defaultSubtotal="1">
            <x v="0"/>
          </reference>
        </references>
      </pivotArea>
    </format>
    <format dxfId="35">
      <pivotArea dataOnly="0" labelOnly="1" outline="0" fieldPosition="0">
        <references count="1">
          <reference field="0" count="1" defaultSubtotal="1">
            <x v="1"/>
          </reference>
        </references>
      </pivotArea>
    </format>
    <format dxfId="34">
      <pivotArea dataOnly="0" labelOnly="1" outline="0" fieldPosition="0">
        <references count="1">
          <reference field="0" count="1" defaultSubtotal="1">
            <x v="2"/>
          </reference>
        </references>
      </pivotArea>
    </format>
    <format dxfId="33">
      <pivotArea dataOnly="0" labelOnly="1" outline="0" fieldPosition="0">
        <references count="1">
          <reference field="0" count="1" defaultSubtotal="1">
            <x v="3"/>
          </reference>
        </references>
      </pivotArea>
    </format>
    <format dxfId="32">
      <pivotArea dataOnly="0" labelOnly="1" outline="0" fieldPosition="0">
        <references count="1">
          <reference field="0" count="1" defaultSubtotal="1">
            <x v="4"/>
          </reference>
        </references>
      </pivotArea>
    </format>
    <format dxfId="31">
      <pivotArea dataOnly="0" labelOnly="1" outline="0" fieldPosition="0">
        <references count="1">
          <reference field="0" count="1" defaultSubtotal="1">
            <x v="5"/>
          </reference>
        </references>
      </pivotArea>
    </format>
    <format dxfId="30">
      <pivotArea dataOnly="0" labelOnly="1" outline="0" fieldPosition="0">
        <references count="1">
          <reference field="0" count="1" defaultSubtotal="1">
            <x v="6"/>
          </reference>
        </references>
      </pivotArea>
    </format>
    <format dxfId="29">
      <pivotArea dataOnly="0" labelOnly="1" outline="0" fieldPosition="0">
        <references count="1">
          <reference field="0" count="1" defaultSubtotal="1">
            <x v="7"/>
          </reference>
        </references>
      </pivotArea>
    </format>
    <format dxfId="28">
      <pivotArea dataOnly="0" labelOnly="1" outline="0" fieldPosition="0">
        <references count="1">
          <reference field="0" count="1" defaultSubtotal="1">
            <x v="8"/>
          </reference>
        </references>
      </pivotArea>
    </format>
    <format dxfId="27">
      <pivotArea dataOnly="0" labelOnly="1" outline="0" fieldPosition="0">
        <references count="1">
          <reference field="0" count="1" defaultSubtotal="1">
            <x v="9"/>
          </reference>
        </references>
      </pivotArea>
    </format>
    <format dxfId="26">
      <pivotArea dataOnly="0" labelOnly="1" outline="0" fieldPosition="0">
        <references count="1">
          <reference field="0" count="1" defaultSubtotal="1">
            <x v="10"/>
          </reference>
        </references>
      </pivotArea>
    </format>
    <format dxfId="25">
      <pivotArea dataOnly="0" labelOnly="1" outline="0" fieldPosition="0">
        <references count="1">
          <reference field="0" count="1" defaultSubtotal="1">
            <x v="11"/>
          </reference>
        </references>
      </pivotArea>
    </format>
    <format dxfId="24">
      <pivotArea dataOnly="0" labelOnly="1" outline="0" fieldPosition="0">
        <references count="1">
          <reference field="0" count="1" defaultSubtotal="1">
            <x v="12"/>
          </reference>
        </references>
      </pivotArea>
    </format>
    <format dxfId="23">
      <pivotArea grandRow="1" outline="0" collapsedLevelsAreSubtotals="1" fieldPosition="0"/>
    </format>
    <format dxfId="22">
      <pivotArea dataOnly="0" labelOnly="1" grandRow="1" outline="0" fieldPosition="0"/>
    </format>
    <format dxfId="21">
      <pivotArea field="0" type="button" dataOnly="0" labelOnly="1" outline="0" axis="axisRow" fieldPosition="0"/>
    </format>
    <format dxfId="20">
      <pivotArea dataOnly="0" labelOnly="1" outline="0" axis="axisValues" fieldPosition="0"/>
    </format>
    <format dxfId="19">
      <pivotArea collapsedLevelsAreSubtotals="1" fieldPosition="0">
        <references count="1">
          <reference field="0" count="0"/>
        </references>
      </pivotArea>
    </format>
    <format dxfId="18">
      <pivotArea dataOnly="0" labelOnly="1" fieldPosition="0">
        <references count="1">
          <reference field="0" count="0"/>
        </references>
      </pivotArea>
    </format>
  </formats>
  <chartFormats count="1">
    <chartFormat chart="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0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CD2839-651D-4678-AC80-2456DF72E455}" name="Tabela dinâmica2" cacheId="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B19" firstHeaderRow="1" firstDataRow="1" firstDataCol="1"/>
  <pivotFields count="6">
    <pivotField numFmtId="14" showAll="0"/>
    <pivotField multipleItemSelectionAllowed="1" showAll="0"/>
    <pivotField showAll="0"/>
    <pivotField showAll="0"/>
    <pivotField axis="axisRow" showAll="0">
      <items count="15">
        <item x="8"/>
        <item x="9"/>
        <item x="10"/>
        <item x="2"/>
        <item x="3"/>
        <item x="4"/>
        <item x="5"/>
        <item x="11"/>
        <item x="12"/>
        <item x="6"/>
        <item x="7"/>
        <item x="0"/>
        <item x="1"/>
        <item x="13"/>
        <item t="default"/>
      </items>
    </pivotField>
    <pivotField dataField="1" numFmtId="44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oma de Valor" fld="5" baseField="0" baseItem="0" numFmtId="44"/>
  </dataFields>
  <formats count="6">
    <format dxfId="42">
      <pivotArea grandRow="1" outline="0" collapsedLevelsAreSubtotals="1" fieldPosition="0"/>
    </format>
    <format dxfId="41">
      <pivotArea dataOnly="0" labelOnly="1" grandRow="1" outline="0" fieldPosition="0"/>
    </format>
    <format dxfId="40">
      <pivotArea grandRow="1" outline="0" collapsedLevelsAreSubtotals="1" fieldPosition="0"/>
    </format>
    <format dxfId="39">
      <pivotArea dataOnly="0" labelOnly="1" grandRow="1" outline="0" fieldPosition="0"/>
    </format>
    <format dxfId="38">
      <pivotArea field="4" type="button" dataOnly="0" labelOnly="1" outline="0" axis="axisRow" fieldPosition="0"/>
    </format>
    <format dxfId="37">
      <pivotArea dataOnly="0" labelOnly="1" outline="0" axis="axisValues" fieldPosition="0"/>
    </format>
  </formats>
  <chartFormats count="1">
    <chartFormat chart="1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81B90B-1DE8-4C7C-8CA0-91BE91A71D48}" name="Tabela1" displayName="Tabela1" ref="A1:F308" totalsRowShown="0" headerRowDxfId="50">
  <tableColumns count="6">
    <tableColumn id="1" xr3:uid="{C2A56A96-634E-4D91-AC7E-78E50D040596}" name="Data"/>
    <tableColumn id="8" xr3:uid="{F3259A9B-B543-4B7E-81A9-F6CD8648A977}" name="Mês" dataDxfId="49">
      <calculatedColumnFormula>MONTH(Tabela1[[#This Row],[Data]])</calculatedColumnFormula>
    </tableColumn>
    <tableColumn id="2" xr3:uid="{EAF1591A-14C9-475A-A7EC-BC325247D271}" name="Cliente"/>
    <tableColumn id="9" xr3:uid="{E38AC5F1-3297-458E-9E17-AF0701F035AA}" name="Proposta"/>
    <tableColumn id="3" xr3:uid="{7EE81A66-45A7-4906-A314-DDDDFB9313D5}" name="Tipo"/>
    <tableColumn id="4" xr3:uid="{11BD7963-01AA-41BB-844B-402FD9988EE2}" name="Valor" dataCellStyle="Mo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2397D1-A930-49FE-A166-ACAA7D20A6F1}" name="Tabela26" displayName="Tabela26" ref="J19:N33" totalsRowShown="0" headerRowDxfId="48">
  <autoFilter ref="J19:N33" xr:uid="{992397D1-A930-49FE-A166-ACAA7D20A6F1}"/>
  <tableColumns count="5">
    <tableColumn id="1" xr3:uid="{56AAAEC3-9F61-4A46-8ACA-C082953054B6}" name="Produto" dataDxfId="47" dataCellStyle="Moeda">
      <calculatedColumnFormula>Configurações!C5</calculatedColumnFormula>
    </tableColumn>
    <tableColumn id="2" xr3:uid="{FA6C0D38-FE80-404A-B7AC-F04E1384E566}" name="Premiação." dataDxfId="46" dataCellStyle="Moeda">
      <calculatedColumnFormula>Configurações!D5</calculatedColumnFormula>
    </tableColumn>
    <tableColumn id="3" xr3:uid="{F1E9CDFF-E16B-4458-ACC1-EB8582AE3F30}" name="Gatilho Atual" dataDxfId="45">
      <calculatedColumnFormula>Configurações!E5</calculatedColumnFormula>
    </tableColumn>
    <tableColumn id="4" xr3:uid="{D27A6793-A271-4B84-85C8-259EA742916F}" name="Próximo Gatilho em:" dataDxfId="44" dataCellStyle="Moeda"/>
    <tableColumn id="5" xr3:uid="{72B0A056-BA05-47FA-AAF8-C11EE9A56D32}" name="Próxima Premiação" dataDxfId="43">
      <calculatedColumnFormula>Configurações!G5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FD6445-3699-493A-B865-C2BF7FC77C50}" name="Tabela3" displayName="Tabela3" ref="X1:AK27" totalsRowShown="0" dataDxfId="17" dataCellStyle="Moeda">
  <autoFilter ref="X1:AK27" xr:uid="{B3FD6445-3699-493A-B865-C2BF7FC77C50}"/>
  <tableColumns count="14">
    <tableColumn id="1" xr3:uid="{D31842DA-AA6B-4058-B583-9915D29E2655}" name="Produto"/>
    <tableColumn id="14" xr3:uid="{17FD9A3A-0904-4482-AE0C-EB1E072F5876}" name="0" dataCellStyle="Moeda"/>
    <tableColumn id="2" xr3:uid="{239E1B46-0E00-4529-8E7F-ECE9BFFD5A34}" name="1" dataDxfId="16" dataCellStyle="Moeda"/>
    <tableColumn id="3" xr3:uid="{E96D68A2-EDE5-470F-802F-92D07BD3F822}" name="2" dataDxfId="15" dataCellStyle="Moeda"/>
    <tableColumn id="4" xr3:uid="{6E2B0961-470C-4366-860B-D00F4182F453}" name="3" dataDxfId="14" dataCellStyle="Moeda"/>
    <tableColumn id="5" xr3:uid="{70464845-FA3C-4F7C-BBBD-91A5F441883C}" name="4" dataDxfId="13" dataCellStyle="Moeda"/>
    <tableColumn id="6" xr3:uid="{24FAB5B6-DE4D-4B43-AE5F-427C25422D5F}" name="5" dataDxfId="12" dataCellStyle="Moeda"/>
    <tableColumn id="7" xr3:uid="{3A8C9413-15FE-4F76-8437-70B53963F1D0}" name="6" dataDxfId="11" dataCellStyle="Moeda"/>
    <tableColumn id="8" xr3:uid="{AA64322E-378A-4F5F-B957-9339376FBF54}" name="7" dataDxfId="10" dataCellStyle="Moeda"/>
    <tableColumn id="9" xr3:uid="{087C21A9-4402-4B8E-A636-E5BF68797236}" name="8" dataDxfId="9" dataCellStyle="Moeda"/>
    <tableColumn id="10" xr3:uid="{740978BA-BDE8-41C2-893F-B686C781B6A5}" name="9" dataDxfId="8" dataCellStyle="Moeda"/>
    <tableColumn id="11" xr3:uid="{EC6D243C-1B1C-46EC-B653-6E648544EF36}" name="10" dataDxfId="7" dataCellStyle="Moeda"/>
    <tableColumn id="12" xr3:uid="{9D621060-4DF3-4D18-BCE8-868D5B09F4B6}" name="11" dataDxfId="6" dataCellStyle="Moeda"/>
    <tableColumn id="13" xr3:uid="{4E124F82-0854-4C17-A25F-2A150A95672B}" name="12" dataDxfId="5" dataCellStyle="Moed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446392-1FE3-4107-801F-0C13B819DEAA}" name="Tabela2" displayName="Tabela2" ref="C4:G18" totalsRowShown="0" headerRowDxfId="4">
  <autoFilter ref="C4:G18" xr:uid="{B2446392-1FE3-4107-801F-0C13B819DEAA}"/>
  <tableColumns count="5">
    <tableColumn id="1" xr3:uid="{5CF57E3F-B6A3-4E0F-9E1A-6F3078479C36}" name="Produto" dataDxfId="3" dataCellStyle="Moeda">
      <calculatedColumnFormula>A5</calculatedColumnFormula>
    </tableColumn>
    <tableColumn id="2" xr3:uid="{731ED108-99F0-44BC-A98C-F49702A62F49}" name="Premiação." dataDxfId="2" dataCellStyle="Moeda">
      <calculatedColumnFormula>CHOOSE(MATCH(A5,{"Vida PM";"Vida PU";"Prestamista PM";"Prestamista PU";"PREV PM";"PREV PU";"RD PM";"RD PU";"CAP PM";"CAP PU";"Consórcio";"Rapidex PM";"Rapidex PU"},0),INDEX($Y$3:$AK$3,MATCH(B5,$Y$2:$AK$2,1)),INDEX($Y$5:$AK$5,MATCH(B5,$Y$4:$AK$4,1)),INDEX($Y$7:$AK$7,MATCH(B5,$Y$6:$AK$6,1)),INDEX($Y$9:$AK$9,MATCH(B5,$Y$8:$AK$8,1)),INDEX($Y$11:$AK$11,MATCH(B5,$Y$10:$AK$10,1)),INDEX($Y$13:$AK$13,MATCH(B5,$Y$12:$AK$12,1)),INDEX($Y$15:$AK$15,MATCH(B5,$Y$14:$AK$14,1)),INDEX($Y$17:$AK$17,MATCH(B5,$Y$16:$AK$16,1)),INDEX($Y$19:$AK$19,MATCH(B5,$Y$18:$AK$18,1)),INDEX($Y$21:$AK$21,MATCH(B5,$Y$20:$AK$20,1)),INDEX($Y$23:$AK$23,MATCH(B5,$Y$22:$AK$22,1)),INDEX($Y$25:$AK$25,MATCH(B5,$Y$24:$AK$24,1)),INDEX($Y$27:$AK$27,MATCH(B5,$Y$26:$AK$26,1)))</calculatedColumnFormula>
    </tableColumn>
    <tableColumn id="3" xr3:uid="{DC70AF0A-B33F-47E3-84FF-13059E3314E4}" name="Gatilho Atual" dataDxfId="1"/>
    <tableColumn id="4" xr3:uid="{BEF1E772-8C7F-4D98-8A30-626D7C7E5110}" name="Próximo Gatilho em:" dataDxfId="0" dataCellStyle="Moeda"/>
    <tableColumn id="5" xr3:uid="{E1CF99C6-084D-4515-B20E-A47EAF749B2E}" name="Próxima Premiaçã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-0.249977111117893"/>
  </sheetPr>
  <dimension ref="A1:N308"/>
  <sheetViews>
    <sheetView showGridLines="0" showRowColHeaders="0" tabSelected="1" workbookViewId="0">
      <pane ySplit="1" topLeftCell="A15" activePane="bottomLeft" state="frozen"/>
      <selection pane="bottomLeft" activeCell="K38" sqref="K38"/>
    </sheetView>
  </sheetViews>
  <sheetFormatPr defaultRowHeight="15" x14ac:dyDescent="0.25"/>
  <cols>
    <col min="1" max="1" width="10.7109375" bestFit="1" customWidth="1"/>
    <col min="2" max="2" width="9.42578125" style="12" hidden="1" customWidth="1"/>
    <col min="3" max="3" width="14" bestFit="1" customWidth="1"/>
    <col min="4" max="4" width="14" customWidth="1"/>
    <col min="5" max="5" width="14.85546875" bestFit="1" customWidth="1"/>
    <col min="6" max="6" width="13.28515625" style="3" bestFit="1" customWidth="1"/>
    <col min="7" max="7" width="0" style="14" hidden="1" customWidth="1"/>
    <col min="8" max="8" width="18" style="14" bestFit="1" customWidth="1"/>
    <col min="9" max="9" width="13.85546875" style="14" bestFit="1" customWidth="1"/>
    <col min="10" max="12" width="18.5703125" style="14" bestFit="1" customWidth="1"/>
    <col min="13" max="13" width="24.140625" style="14" bestFit="1" customWidth="1"/>
    <col min="14" max="14" width="24" style="14" bestFit="1" customWidth="1"/>
    <col min="15" max="18" width="9.140625" style="14"/>
    <col min="19" max="19" width="14.85546875" style="14" bestFit="1" customWidth="1"/>
    <col min="20" max="16384" width="9.140625" style="14"/>
  </cols>
  <sheetData>
    <row r="1" spans="1:6" x14ac:dyDescent="0.25">
      <c r="A1" s="36" t="s">
        <v>0</v>
      </c>
      <c r="B1" s="37" t="s">
        <v>2</v>
      </c>
      <c r="C1" s="36" t="s">
        <v>1</v>
      </c>
      <c r="D1" s="36" t="s">
        <v>20</v>
      </c>
      <c r="E1" s="36" t="s">
        <v>3</v>
      </c>
      <c r="F1" s="38" t="s">
        <v>4</v>
      </c>
    </row>
    <row r="2" spans="1:6" hidden="1" x14ac:dyDescent="0.25">
      <c r="A2" s="1">
        <v>45658</v>
      </c>
      <c r="B2" s="12">
        <f>MONTH(Tabela1[[#This Row],[Data]])</f>
        <v>1</v>
      </c>
      <c r="E2" t="s">
        <v>5</v>
      </c>
      <c r="F2" s="3">
        <v>0</v>
      </c>
    </row>
    <row r="3" spans="1:6" hidden="1" x14ac:dyDescent="0.25">
      <c r="A3" s="1">
        <v>45658</v>
      </c>
      <c r="B3" s="12">
        <f>MONTH(Tabela1[[#This Row],[Data]])</f>
        <v>1</v>
      </c>
      <c r="E3" t="s">
        <v>6</v>
      </c>
      <c r="F3" s="3">
        <v>0</v>
      </c>
    </row>
    <row r="4" spans="1:6" hidden="1" x14ac:dyDescent="0.25">
      <c r="A4" s="1">
        <v>45658</v>
      </c>
      <c r="B4" s="12">
        <f>MONTH(Tabela1[[#This Row],[Data]])</f>
        <v>1</v>
      </c>
      <c r="E4" t="s">
        <v>7</v>
      </c>
      <c r="F4" s="3">
        <v>0</v>
      </c>
    </row>
    <row r="5" spans="1:6" hidden="1" x14ac:dyDescent="0.25">
      <c r="A5" s="1">
        <v>45658</v>
      </c>
      <c r="B5" s="12">
        <f>MONTH(Tabela1[[#This Row],[Data]])</f>
        <v>1</v>
      </c>
      <c r="E5" t="s">
        <v>8</v>
      </c>
      <c r="F5" s="3">
        <v>0</v>
      </c>
    </row>
    <row r="6" spans="1:6" hidden="1" x14ac:dyDescent="0.25">
      <c r="A6" s="1">
        <v>45658</v>
      </c>
      <c r="B6" s="12">
        <f>MONTH(Tabela1[[#This Row],[Data]])</f>
        <v>1</v>
      </c>
      <c r="E6" t="s">
        <v>9</v>
      </c>
      <c r="F6" s="3">
        <v>0</v>
      </c>
    </row>
    <row r="7" spans="1:6" hidden="1" x14ac:dyDescent="0.25">
      <c r="A7" s="1">
        <v>45658</v>
      </c>
      <c r="B7" s="12">
        <f>MONTH(Tabela1[[#This Row],[Data]])</f>
        <v>1</v>
      </c>
      <c r="E7" t="s">
        <v>10</v>
      </c>
      <c r="F7" s="3">
        <v>0</v>
      </c>
    </row>
    <row r="8" spans="1:6" hidden="1" x14ac:dyDescent="0.25">
      <c r="A8" s="1">
        <v>45658</v>
      </c>
      <c r="B8" s="12">
        <f>MONTH(Tabela1[[#This Row],[Data]])</f>
        <v>1</v>
      </c>
      <c r="E8" t="s">
        <v>11</v>
      </c>
      <c r="F8" s="3">
        <v>0</v>
      </c>
    </row>
    <row r="9" spans="1:6" hidden="1" x14ac:dyDescent="0.25">
      <c r="A9" s="1">
        <v>45658</v>
      </c>
      <c r="B9" s="12">
        <f>MONTH(Tabela1[[#This Row],[Data]])</f>
        <v>1</v>
      </c>
      <c r="E9" t="s">
        <v>12</v>
      </c>
      <c r="F9" s="3">
        <v>0</v>
      </c>
    </row>
    <row r="10" spans="1:6" hidden="1" x14ac:dyDescent="0.25">
      <c r="A10" s="1">
        <v>45658</v>
      </c>
      <c r="B10" s="12">
        <f>MONTH(Tabela1[[#This Row],[Data]])</f>
        <v>1</v>
      </c>
      <c r="E10" t="s">
        <v>13</v>
      </c>
      <c r="F10" s="3">
        <v>0</v>
      </c>
    </row>
    <row r="11" spans="1:6" hidden="1" x14ac:dyDescent="0.25">
      <c r="A11" s="1">
        <v>45658</v>
      </c>
      <c r="B11" s="12">
        <f>MONTH(Tabela1[[#This Row],[Data]])</f>
        <v>1</v>
      </c>
      <c r="E11" t="s">
        <v>14</v>
      </c>
      <c r="F11" s="3">
        <v>0</v>
      </c>
    </row>
    <row r="12" spans="1:6" hidden="1" x14ac:dyDescent="0.25">
      <c r="A12" s="1">
        <v>45658</v>
      </c>
      <c r="B12" s="12">
        <f>MONTH(Tabela1[[#This Row],[Data]])</f>
        <v>1</v>
      </c>
      <c r="E12" t="s">
        <v>15</v>
      </c>
      <c r="F12" s="3">
        <v>0</v>
      </c>
    </row>
    <row r="13" spans="1:6" hidden="1" x14ac:dyDescent="0.25">
      <c r="A13" s="1">
        <v>45658</v>
      </c>
      <c r="B13" s="12">
        <f>MONTH(Tabela1[[#This Row],[Data]])</f>
        <v>1</v>
      </c>
      <c r="E13" t="s">
        <v>24</v>
      </c>
      <c r="F13" s="3">
        <v>0</v>
      </c>
    </row>
    <row r="14" spans="1:6" hidden="1" x14ac:dyDescent="0.25">
      <c r="A14" s="1">
        <v>45658</v>
      </c>
      <c r="B14" s="12">
        <f>MONTH(Tabela1[[#This Row],[Data]])</f>
        <v>1</v>
      </c>
      <c r="E14" t="s">
        <v>25</v>
      </c>
      <c r="F14" s="3">
        <v>0</v>
      </c>
    </row>
    <row r="15" spans="1:6" x14ac:dyDescent="0.25">
      <c r="A15" s="16"/>
      <c r="B15" s="33"/>
      <c r="C15" s="17"/>
      <c r="D15" s="17"/>
      <c r="E15" s="17"/>
      <c r="F15" s="22"/>
    </row>
    <row r="16" spans="1:6" x14ac:dyDescent="0.25">
      <c r="A16" s="18"/>
      <c r="B16" s="34"/>
      <c r="C16" s="19"/>
      <c r="D16" s="19"/>
      <c r="E16" s="19"/>
      <c r="F16" s="23"/>
    </row>
    <row r="17" spans="1:14" x14ac:dyDescent="0.25">
      <c r="A17" s="16"/>
      <c r="B17" s="33"/>
      <c r="C17" s="17"/>
      <c r="D17" s="17"/>
      <c r="E17" s="17"/>
      <c r="F17" s="22"/>
      <c r="H17" s="4" t="s">
        <v>46</v>
      </c>
      <c r="I17" t="s">
        <v>19</v>
      </c>
    </row>
    <row r="18" spans="1:14" x14ac:dyDescent="0.25">
      <c r="A18" s="18"/>
      <c r="B18" s="34"/>
      <c r="C18" s="19"/>
      <c r="D18" s="19"/>
      <c r="E18" s="19"/>
      <c r="F18" s="23"/>
    </row>
    <row r="19" spans="1:14" x14ac:dyDescent="0.25">
      <c r="A19" s="16"/>
      <c r="B19" s="33"/>
      <c r="C19" s="17"/>
      <c r="D19" s="17"/>
      <c r="E19" s="17"/>
      <c r="F19" s="22"/>
      <c r="H19" s="39" t="s">
        <v>16</v>
      </c>
      <c r="I19" s="39" t="s">
        <v>18</v>
      </c>
      <c r="J19" s="40" t="s">
        <v>22</v>
      </c>
      <c r="K19" s="40" t="s">
        <v>31</v>
      </c>
      <c r="L19" s="40" t="s">
        <v>26</v>
      </c>
      <c r="M19" s="40" t="s">
        <v>28</v>
      </c>
      <c r="N19" s="40" t="s">
        <v>27</v>
      </c>
    </row>
    <row r="20" spans="1:14" x14ac:dyDescent="0.25">
      <c r="A20" s="18"/>
      <c r="B20" s="34"/>
      <c r="C20" s="19"/>
      <c r="D20" s="19"/>
      <c r="E20" s="19"/>
      <c r="F20" s="23"/>
      <c r="H20" s="5" t="s">
        <v>13</v>
      </c>
      <c r="I20" s="6">
        <v>0</v>
      </c>
      <c r="J20" t="str">
        <f>Configurações!C5</f>
        <v>CAP PM</v>
      </c>
      <c r="K20" s="3">
        <f>Configurações!D5</f>
        <v>0</v>
      </c>
      <c r="L20" s="31" t="str">
        <f>Configurações!E5</f>
        <v>0</v>
      </c>
      <c r="M20" s="3">
        <f>Configurações!F5</f>
        <v>100</v>
      </c>
      <c r="N20" s="3">
        <f>Configurações!G5</f>
        <v>25</v>
      </c>
    </row>
    <row r="21" spans="1:14" x14ac:dyDescent="0.25">
      <c r="A21" s="16"/>
      <c r="B21" s="33"/>
      <c r="C21" s="17"/>
      <c r="D21" s="17"/>
      <c r="E21" s="17"/>
      <c r="F21" s="22"/>
      <c r="H21" s="5" t="s">
        <v>14</v>
      </c>
      <c r="I21" s="6">
        <v>0</v>
      </c>
      <c r="J21" s="10" t="str">
        <f>Configurações!C6</f>
        <v>CAP PU</v>
      </c>
      <c r="K21" s="3">
        <f>Configurações!D6</f>
        <v>0</v>
      </c>
      <c r="L21" s="31" t="str">
        <f>Configurações!E6</f>
        <v>0</v>
      </c>
      <c r="M21" s="3">
        <f>Configurações!F6</f>
        <v>1200</v>
      </c>
      <c r="N21" s="3">
        <f>Configurações!G6</f>
        <v>4.8</v>
      </c>
    </row>
    <row r="22" spans="1:14" x14ac:dyDescent="0.25">
      <c r="A22" s="18"/>
      <c r="B22" s="34"/>
      <c r="C22" s="19"/>
      <c r="D22" s="19"/>
      <c r="E22" s="19"/>
      <c r="F22" s="23"/>
      <c r="H22" s="5" t="s">
        <v>15</v>
      </c>
      <c r="I22" s="6">
        <v>0</v>
      </c>
      <c r="J22" s="10" t="str">
        <f>Configurações!C7</f>
        <v>Consórcio</v>
      </c>
      <c r="K22" s="3">
        <f>Configurações!D7</f>
        <v>0</v>
      </c>
      <c r="L22" s="31" t="str">
        <f>Configurações!E7</f>
        <v>0</v>
      </c>
      <c r="M22" s="3">
        <f>Configurações!F7</f>
        <v>40000</v>
      </c>
      <c r="N22" s="3">
        <f>Configurações!G7</f>
        <v>300</v>
      </c>
    </row>
    <row r="23" spans="1:14" x14ac:dyDescent="0.25">
      <c r="A23" s="16"/>
      <c r="B23" s="33"/>
      <c r="C23" s="17"/>
      <c r="D23" s="17"/>
      <c r="E23" s="17"/>
      <c r="F23" s="22"/>
      <c r="H23" s="5" t="s">
        <v>7</v>
      </c>
      <c r="I23" s="6">
        <v>0</v>
      </c>
      <c r="J23" s="10" t="str">
        <f>Configurações!C8</f>
        <v>Prestamista PM</v>
      </c>
      <c r="K23" s="3">
        <f>Configurações!D8</f>
        <v>0</v>
      </c>
      <c r="L23" s="31" t="str">
        <f>Configurações!E8</f>
        <v>0</v>
      </c>
      <c r="M23" s="3">
        <f>Configurações!F8</f>
        <v>30</v>
      </c>
      <c r="N23" s="3">
        <f>Configurações!G8</f>
        <v>7.5</v>
      </c>
    </row>
    <row r="24" spans="1:14" x14ac:dyDescent="0.25">
      <c r="A24" s="18"/>
      <c r="B24" s="34"/>
      <c r="C24" s="19"/>
      <c r="D24" s="19"/>
      <c r="E24" s="19"/>
      <c r="F24" s="23"/>
      <c r="H24" s="5" t="s">
        <v>8</v>
      </c>
      <c r="I24" s="6">
        <v>0</v>
      </c>
      <c r="J24" s="10" t="str">
        <f>Configurações!C9</f>
        <v>Prestamista PU</v>
      </c>
      <c r="K24" s="3">
        <f>Configurações!D9</f>
        <v>0</v>
      </c>
      <c r="L24" s="31" t="str">
        <f>Configurações!E9</f>
        <v>0</v>
      </c>
      <c r="M24" s="3">
        <f>Configurações!F9</f>
        <v>4000</v>
      </c>
      <c r="N24" s="3">
        <f>Configurações!G9</f>
        <v>100</v>
      </c>
    </row>
    <row r="25" spans="1:14" x14ac:dyDescent="0.25">
      <c r="A25" s="16"/>
      <c r="B25" s="33"/>
      <c r="C25" s="17"/>
      <c r="D25" s="17"/>
      <c r="E25" s="17"/>
      <c r="F25" s="22"/>
      <c r="H25" s="5" t="s">
        <v>9</v>
      </c>
      <c r="I25" s="6">
        <v>0</v>
      </c>
      <c r="J25" s="10" t="str">
        <f>Configurações!C10</f>
        <v>PREV PM</v>
      </c>
      <c r="K25" s="3">
        <f>Configurações!D10</f>
        <v>0</v>
      </c>
      <c r="L25" s="31" t="str">
        <f>Configurações!E10</f>
        <v>0</v>
      </c>
      <c r="M25" s="3">
        <f>Configurações!F10</f>
        <v>300</v>
      </c>
      <c r="N25" s="3">
        <f>Configurações!G10</f>
        <v>2.5499999999999998</v>
      </c>
    </row>
    <row r="26" spans="1:14" x14ac:dyDescent="0.25">
      <c r="A26" s="18"/>
      <c r="B26" s="34"/>
      <c r="C26" s="19"/>
      <c r="D26" s="19"/>
      <c r="E26" s="19"/>
      <c r="F26" s="23"/>
      <c r="H26" s="5" t="s">
        <v>10</v>
      </c>
      <c r="I26" s="6">
        <v>0</v>
      </c>
      <c r="J26" s="10" t="str">
        <f>Configurações!C11</f>
        <v>PREV PU</v>
      </c>
      <c r="K26" s="3">
        <f>Configurações!D11</f>
        <v>0</v>
      </c>
      <c r="L26" s="31" t="str">
        <f>Configurações!E11</f>
        <v>0</v>
      </c>
      <c r="M26" s="3">
        <f>Configurações!F11</f>
        <v>18000</v>
      </c>
      <c r="N26" s="29">
        <f>Configurações!G11</f>
        <v>8.1</v>
      </c>
    </row>
    <row r="27" spans="1:14" x14ac:dyDescent="0.25">
      <c r="A27" s="16"/>
      <c r="B27" s="33"/>
      <c r="C27" s="17"/>
      <c r="D27" s="17"/>
      <c r="E27" s="17"/>
      <c r="F27" s="22"/>
      <c r="H27" s="5" t="s">
        <v>24</v>
      </c>
      <c r="I27" s="6">
        <v>0</v>
      </c>
      <c r="J27" s="10" t="str">
        <f>Configurações!C12</f>
        <v>Rapidex PM</v>
      </c>
      <c r="K27" s="3">
        <f>Configurações!D12</f>
        <v>0</v>
      </c>
      <c r="L27" s="31" t="str">
        <f>Configurações!E12</f>
        <v>0</v>
      </c>
      <c r="M27" s="3">
        <f>Configurações!F12</f>
        <v>110</v>
      </c>
      <c r="N27" s="3">
        <f>Configurações!G12</f>
        <v>18</v>
      </c>
    </row>
    <row r="28" spans="1:14" x14ac:dyDescent="0.25">
      <c r="A28" s="18"/>
      <c r="B28" s="34"/>
      <c r="C28" s="19"/>
      <c r="D28" s="19"/>
      <c r="E28" s="19"/>
      <c r="F28" s="23"/>
      <c r="H28" s="5" t="s">
        <v>25</v>
      </c>
      <c r="I28" s="6">
        <v>0</v>
      </c>
      <c r="J28" s="10" t="str">
        <f>Configurações!C13</f>
        <v>Rapidex PU</v>
      </c>
      <c r="K28" s="3">
        <f>Configurações!D13</f>
        <v>0</v>
      </c>
      <c r="L28" s="31" t="str">
        <f>Configurações!E13</f>
        <v>0</v>
      </c>
      <c r="M28" s="3">
        <f>Configurações!F13</f>
        <v>600</v>
      </c>
      <c r="N28" s="3">
        <f>Configurações!G13</f>
        <v>30</v>
      </c>
    </row>
    <row r="29" spans="1:14" x14ac:dyDescent="0.25">
      <c r="A29" s="16"/>
      <c r="B29" s="33"/>
      <c r="C29" s="17"/>
      <c r="D29" s="17"/>
      <c r="E29" s="17"/>
      <c r="F29" s="22"/>
      <c r="H29" s="5" t="s">
        <v>11</v>
      </c>
      <c r="I29" s="6">
        <v>0</v>
      </c>
      <c r="J29" s="10" t="str">
        <f>Configurações!C14</f>
        <v>RD PM</v>
      </c>
      <c r="K29" s="3">
        <f>Configurações!D14</f>
        <v>0</v>
      </c>
      <c r="L29" s="31" t="str">
        <f>Configurações!E14</f>
        <v>0</v>
      </c>
      <c r="M29" s="3">
        <f>Configurações!F14</f>
        <v>50</v>
      </c>
      <c r="N29" s="3">
        <f>Configurações!G14</f>
        <v>50</v>
      </c>
    </row>
    <row r="30" spans="1:14" x14ac:dyDescent="0.25">
      <c r="A30" s="18"/>
      <c r="B30" s="34"/>
      <c r="C30" s="19"/>
      <c r="D30" s="19"/>
      <c r="E30" s="19"/>
      <c r="F30" s="23"/>
      <c r="H30" s="5" t="s">
        <v>12</v>
      </c>
      <c r="I30" s="6">
        <v>0</v>
      </c>
      <c r="J30" s="10" t="str">
        <f>Configurações!C15</f>
        <v>RD PU</v>
      </c>
      <c r="K30" s="3">
        <f>Configurações!D15</f>
        <v>0</v>
      </c>
      <c r="L30" s="31" t="str">
        <f>Configurações!E15</f>
        <v>0</v>
      </c>
      <c r="M30" s="3">
        <f>Configurações!F15</f>
        <v>700</v>
      </c>
      <c r="N30" s="3">
        <f>Configurações!G15</f>
        <v>36.4</v>
      </c>
    </row>
    <row r="31" spans="1:14" x14ac:dyDescent="0.25">
      <c r="A31" s="16"/>
      <c r="B31" s="33"/>
      <c r="C31" s="17"/>
      <c r="D31" s="17"/>
      <c r="E31" s="17"/>
      <c r="F31" s="22"/>
      <c r="H31" s="5" t="s">
        <v>5</v>
      </c>
      <c r="I31" s="6">
        <v>0</v>
      </c>
      <c r="J31" s="10" t="str">
        <f>Configurações!C16</f>
        <v>Vida PM</v>
      </c>
      <c r="K31" s="3">
        <f>Configurações!D16</f>
        <v>0</v>
      </c>
      <c r="L31" s="31" t="str">
        <f>Configurações!E16</f>
        <v>0</v>
      </c>
      <c r="M31" s="3">
        <f>Configurações!F16</f>
        <v>100</v>
      </c>
      <c r="N31" s="3">
        <f>Configurações!G16</f>
        <v>35</v>
      </c>
    </row>
    <row r="32" spans="1:14" x14ac:dyDescent="0.25">
      <c r="A32" s="18"/>
      <c r="B32" s="34"/>
      <c r="C32" s="19"/>
      <c r="D32" s="19"/>
      <c r="E32" s="19"/>
      <c r="F32" s="23"/>
      <c r="H32" s="5" t="s">
        <v>6</v>
      </c>
      <c r="I32" s="6">
        <v>0</v>
      </c>
      <c r="J32" s="10" t="str">
        <f>Configurações!C17</f>
        <v>Vida PU</v>
      </c>
      <c r="K32" s="3">
        <f>Configurações!D17</f>
        <v>0</v>
      </c>
      <c r="L32" s="31" t="str">
        <f>Configurações!E17</f>
        <v>0</v>
      </c>
      <c r="M32" s="3">
        <f>Configurações!F17</f>
        <v>500</v>
      </c>
      <c r="N32" s="3">
        <f>Configurações!G17</f>
        <v>8.75</v>
      </c>
    </row>
    <row r="33" spans="1:14" x14ac:dyDescent="0.25">
      <c r="A33" s="16"/>
      <c r="B33" s="33"/>
      <c r="C33" s="17"/>
      <c r="D33" s="17"/>
      <c r="E33" s="17"/>
      <c r="F33" s="22"/>
      <c r="H33" s="5" t="s">
        <v>30</v>
      </c>
      <c r="I33" s="6"/>
      <c r="J33" s="43" t="str">
        <f>Configurações!C18</f>
        <v>(vazio)</v>
      </c>
      <c r="K33" s="44">
        <f>Configurações!D18</f>
        <v>0</v>
      </c>
      <c r="L33" s="45"/>
      <c r="M33" s="38"/>
      <c r="N33" s="46"/>
    </row>
    <row r="34" spans="1:14" x14ac:dyDescent="0.25">
      <c r="A34" s="18"/>
      <c r="B34" s="34"/>
      <c r="C34" s="19"/>
      <c r="D34" s="19"/>
      <c r="E34" s="19"/>
      <c r="F34" s="23"/>
      <c r="H34" s="41" t="s">
        <v>17</v>
      </c>
      <c r="I34" s="42">
        <v>0</v>
      </c>
    </row>
    <row r="35" spans="1:14" x14ac:dyDescent="0.25">
      <c r="A35" s="20"/>
      <c r="B35" s="35"/>
      <c r="C35" s="21"/>
      <c r="D35" s="21"/>
      <c r="E35" s="21"/>
      <c r="F35" s="24"/>
    </row>
    <row r="36" spans="1:14" x14ac:dyDescent="0.25">
      <c r="A36" s="1"/>
    </row>
    <row r="37" spans="1:14" x14ac:dyDescent="0.25">
      <c r="A37" s="1"/>
    </row>
    <row r="38" spans="1:14" x14ac:dyDescent="0.25">
      <c r="A38" s="1"/>
    </row>
    <row r="39" spans="1:14" x14ac:dyDescent="0.25">
      <c r="B39" s="12">
        <f>MONTH(Tabela1[[#This Row],[Data]])</f>
        <v>1</v>
      </c>
    </row>
    <row r="40" spans="1:14" x14ac:dyDescent="0.25">
      <c r="B40" s="12">
        <f>MONTH(Tabela1[[#This Row],[Data]])</f>
        <v>1</v>
      </c>
    </row>
    <row r="41" spans="1:14" x14ac:dyDescent="0.25">
      <c r="B41" s="12">
        <f>MONTH(Tabela1[[#This Row],[Data]])</f>
        <v>1</v>
      </c>
    </row>
    <row r="42" spans="1:14" x14ac:dyDescent="0.25">
      <c r="B42" s="12">
        <f>MONTH(Tabela1[[#This Row],[Data]])</f>
        <v>1</v>
      </c>
    </row>
    <row r="43" spans="1:14" x14ac:dyDescent="0.25">
      <c r="B43" s="12">
        <f>MONTH(Tabela1[[#This Row],[Data]])</f>
        <v>1</v>
      </c>
    </row>
    <row r="44" spans="1:14" x14ac:dyDescent="0.25">
      <c r="B44" s="12">
        <f>MONTH(Tabela1[[#This Row],[Data]])</f>
        <v>1</v>
      </c>
    </row>
    <row r="45" spans="1:14" x14ac:dyDescent="0.25">
      <c r="B45" s="12">
        <f>MONTH(Tabela1[[#This Row],[Data]])</f>
        <v>1</v>
      </c>
    </row>
    <row r="46" spans="1:14" x14ac:dyDescent="0.25">
      <c r="B46" s="12">
        <f>MONTH(Tabela1[[#This Row],[Data]])</f>
        <v>1</v>
      </c>
    </row>
    <row r="47" spans="1:14" x14ac:dyDescent="0.25">
      <c r="B47" s="12">
        <f>MONTH(Tabela1[[#This Row],[Data]])</f>
        <v>1</v>
      </c>
    </row>
    <row r="48" spans="1:14" x14ac:dyDescent="0.25">
      <c r="B48" s="12">
        <f>MONTH(Tabela1[[#This Row],[Data]])</f>
        <v>1</v>
      </c>
    </row>
    <row r="49" spans="2:2" x14ac:dyDescent="0.25">
      <c r="B49" s="12">
        <f>MONTH(Tabela1[[#This Row],[Data]])</f>
        <v>1</v>
      </c>
    </row>
    <row r="50" spans="2:2" x14ac:dyDescent="0.25">
      <c r="B50" s="12">
        <f>MONTH(Tabela1[[#This Row],[Data]])</f>
        <v>1</v>
      </c>
    </row>
    <row r="51" spans="2:2" x14ac:dyDescent="0.25">
      <c r="B51" s="12">
        <f>MONTH(Tabela1[[#This Row],[Data]])</f>
        <v>1</v>
      </c>
    </row>
    <row r="52" spans="2:2" x14ac:dyDescent="0.25">
      <c r="B52" s="12">
        <f>MONTH(Tabela1[[#This Row],[Data]])</f>
        <v>1</v>
      </c>
    </row>
    <row r="53" spans="2:2" x14ac:dyDescent="0.25">
      <c r="B53" s="12">
        <f>MONTH(Tabela1[[#This Row],[Data]])</f>
        <v>1</v>
      </c>
    </row>
    <row r="54" spans="2:2" x14ac:dyDescent="0.25">
      <c r="B54" s="12">
        <f>MONTH(Tabela1[[#This Row],[Data]])</f>
        <v>1</v>
      </c>
    </row>
    <row r="55" spans="2:2" x14ac:dyDescent="0.25">
      <c r="B55" s="12">
        <f>MONTH(Tabela1[[#This Row],[Data]])</f>
        <v>1</v>
      </c>
    </row>
    <row r="56" spans="2:2" x14ac:dyDescent="0.25">
      <c r="B56" s="12">
        <f>MONTH(Tabela1[[#This Row],[Data]])</f>
        <v>1</v>
      </c>
    </row>
    <row r="57" spans="2:2" x14ac:dyDescent="0.25">
      <c r="B57" s="12">
        <f>MONTH(Tabela1[[#This Row],[Data]])</f>
        <v>1</v>
      </c>
    </row>
    <row r="58" spans="2:2" x14ac:dyDescent="0.25">
      <c r="B58" s="12">
        <f>MONTH(Tabela1[[#This Row],[Data]])</f>
        <v>1</v>
      </c>
    </row>
    <row r="59" spans="2:2" x14ac:dyDescent="0.25">
      <c r="B59" s="12">
        <f>MONTH(Tabela1[[#This Row],[Data]])</f>
        <v>1</v>
      </c>
    </row>
    <row r="60" spans="2:2" x14ac:dyDescent="0.25">
      <c r="B60" s="12">
        <f>MONTH(Tabela1[[#This Row],[Data]])</f>
        <v>1</v>
      </c>
    </row>
    <row r="61" spans="2:2" x14ac:dyDescent="0.25">
      <c r="B61" s="12">
        <f>MONTH(Tabela1[[#This Row],[Data]])</f>
        <v>1</v>
      </c>
    </row>
    <row r="62" spans="2:2" x14ac:dyDescent="0.25">
      <c r="B62" s="12">
        <f>MONTH(Tabela1[[#This Row],[Data]])</f>
        <v>1</v>
      </c>
    </row>
    <row r="63" spans="2:2" x14ac:dyDescent="0.25">
      <c r="B63" s="12">
        <f>MONTH(Tabela1[[#This Row],[Data]])</f>
        <v>1</v>
      </c>
    </row>
    <row r="64" spans="2:2" x14ac:dyDescent="0.25">
      <c r="B64" s="12">
        <f>MONTH(Tabela1[[#This Row],[Data]])</f>
        <v>1</v>
      </c>
    </row>
    <row r="65" spans="2:2" x14ac:dyDescent="0.25">
      <c r="B65" s="12">
        <f>MONTH(Tabela1[[#This Row],[Data]])</f>
        <v>1</v>
      </c>
    </row>
    <row r="66" spans="2:2" x14ac:dyDescent="0.25">
      <c r="B66" s="12">
        <f>MONTH(Tabela1[[#This Row],[Data]])</f>
        <v>1</v>
      </c>
    </row>
    <row r="67" spans="2:2" x14ac:dyDescent="0.25">
      <c r="B67" s="12">
        <f>MONTH(Tabela1[[#This Row],[Data]])</f>
        <v>1</v>
      </c>
    </row>
    <row r="68" spans="2:2" x14ac:dyDescent="0.25">
      <c r="B68" s="12">
        <f>MONTH(Tabela1[[#This Row],[Data]])</f>
        <v>1</v>
      </c>
    </row>
    <row r="69" spans="2:2" x14ac:dyDescent="0.25">
      <c r="B69" s="12">
        <f>MONTH(Tabela1[[#This Row],[Data]])</f>
        <v>1</v>
      </c>
    </row>
    <row r="70" spans="2:2" x14ac:dyDescent="0.25">
      <c r="B70" s="12">
        <f>MONTH(Tabela1[[#This Row],[Data]])</f>
        <v>1</v>
      </c>
    </row>
    <row r="71" spans="2:2" x14ac:dyDescent="0.25">
      <c r="B71" s="12">
        <f>MONTH(Tabela1[[#This Row],[Data]])</f>
        <v>1</v>
      </c>
    </row>
    <row r="72" spans="2:2" x14ac:dyDescent="0.25">
      <c r="B72" s="12">
        <f>MONTH(Tabela1[[#This Row],[Data]])</f>
        <v>1</v>
      </c>
    </row>
    <row r="73" spans="2:2" x14ac:dyDescent="0.25">
      <c r="B73" s="12">
        <f>MONTH(Tabela1[[#This Row],[Data]])</f>
        <v>1</v>
      </c>
    </row>
    <row r="74" spans="2:2" x14ac:dyDescent="0.25">
      <c r="B74" s="12">
        <f>MONTH(Tabela1[[#This Row],[Data]])</f>
        <v>1</v>
      </c>
    </row>
    <row r="75" spans="2:2" x14ac:dyDescent="0.25">
      <c r="B75" s="12">
        <f>MONTH(Tabela1[[#This Row],[Data]])</f>
        <v>1</v>
      </c>
    </row>
    <row r="76" spans="2:2" x14ac:dyDescent="0.25">
      <c r="B76" s="12">
        <f>MONTH(Tabela1[[#This Row],[Data]])</f>
        <v>1</v>
      </c>
    </row>
    <row r="77" spans="2:2" x14ac:dyDescent="0.25">
      <c r="B77" s="12">
        <f>MONTH(Tabela1[[#This Row],[Data]])</f>
        <v>1</v>
      </c>
    </row>
    <row r="78" spans="2:2" x14ac:dyDescent="0.25">
      <c r="B78" s="12">
        <f>MONTH(Tabela1[[#This Row],[Data]])</f>
        <v>1</v>
      </c>
    </row>
    <row r="79" spans="2:2" x14ac:dyDescent="0.25">
      <c r="B79" s="12">
        <f>MONTH(Tabela1[[#This Row],[Data]])</f>
        <v>1</v>
      </c>
    </row>
    <row r="80" spans="2:2" x14ac:dyDescent="0.25">
      <c r="B80" s="12">
        <f>MONTH(Tabela1[[#This Row],[Data]])</f>
        <v>1</v>
      </c>
    </row>
    <row r="81" spans="2:2" x14ac:dyDescent="0.25">
      <c r="B81" s="12">
        <f>MONTH(Tabela1[[#This Row],[Data]])</f>
        <v>1</v>
      </c>
    </row>
    <row r="82" spans="2:2" x14ac:dyDescent="0.25">
      <c r="B82" s="12">
        <f>MONTH(Tabela1[[#This Row],[Data]])</f>
        <v>1</v>
      </c>
    </row>
    <row r="83" spans="2:2" x14ac:dyDescent="0.25">
      <c r="B83" s="12">
        <f>MONTH(Tabela1[[#This Row],[Data]])</f>
        <v>1</v>
      </c>
    </row>
    <row r="84" spans="2:2" x14ac:dyDescent="0.25">
      <c r="B84" s="12">
        <f>MONTH(Tabela1[[#This Row],[Data]])</f>
        <v>1</v>
      </c>
    </row>
    <row r="85" spans="2:2" x14ac:dyDescent="0.25">
      <c r="B85" s="12">
        <f>MONTH(Tabela1[[#This Row],[Data]])</f>
        <v>1</v>
      </c>
    </row>
    <row r="86" spans="2:2" x14ac:dyDescent="0.25">
      <c r="B86" s="12">
        <f>MONTH(Tabela1[[#This Row],[Data]])</f>
        <v>1</v>
      </c>
    </row>
    <row r="87" spans="2:2" x14ac:dyDescent="0.25">
      <c r="B87" s="12">
        <f>MONTH(Tabela1[[#This Row],[Data]])</f>
        <v>1</v>
      </c>
    </row>
    <row r="88" spans="2:2" x14ac:dyDescent="0.25">
      <c r="B88" s="12">
        <f>MONTH(Tabela1[[#This Row],[Data]])</f>
        <v>1</v>
      </c>
    </row>
    <row r="89" spans="2:2" x14ac:dyDescent="0.25">
      <c r="B89" s="12">
        <f>MONTH(Tabela1[[#This Row],[Data]])</f>
        <v>1</v>
      </c>
    </row>
    <row r="90" spans="2:2" x14ac:dyDescent="0.25">
      <c r="B90" s="12">
        <f>MONTH(Tabela1[[#This Row],[Data]])</f>
        <v>1</v>
      </c>
    </row>
    <row r="91" spans="2:2" x14ac:dyDescent="0.25">
      <c r="B91" s="12">
        <f>MONTH(Tabela1[[#This Row],[Data]])</f>
        <v>1</v>
      </c>
    </row>
    <row r="92" spans="2:2" x14ac:dyDescent="0.25">
      <c r="B92" s="12">
        <f>MONTH(Tabela1[[#This Row],[Data]])</f>
        <v>1</v>
      </c>
    </row>
    <row r="93" spans="2:2" x14ac:dyDescent="0.25">
      <c r="B93" s="12">
        <f>MONTH(Tabela1[[#This Row],[Data]])</f>
        <v>1</v>
      </c>
    </row>
    <row r="94" spans="2:2" x14ac:dyDescent="0.25">
      <c r="B94" s="12">
        <f>MONTH(Tabela1[[#This Row],[Data]])</f>
        <v>1</v>
      </c>
    </row>
    <row r="95" spans="2:2" x14ac:dyDescent="0.25">
      <c r="B95" s="12">
        <f>MONTH(Tabela1[[#This Row],[Data]])</f>
        <v>1</v>
      </c>
    </row>
    <row r="96" spans="2:2" x14ac:dyDescent="0.25">
      <c r="B96" s="12">
        <f>MONTH(Tabela1[[#This Row],[Data]])</f>
        <v>1</v>
      </c>
    </row>
    <row r="97" spans="2:2" x14ac:dyDescent="0.25">
      <c r="B97" s="12">
        <f>MONTH(Tabela1[[#This Row],[Data]])</f>
        <v>1</v>
      </c>
    </row>
    <row r="98" spans="2:2" x14ac:dyDescent="0.25">
      <c r="B98" s="12">
        <f>MONTH(Tabela1[[#This Row],[Data]])</f>
        <v>1</v>
      </c>
    </row>
    <row r="99" spans="2:2" x14ac:dyDescent="0.25">
      <c r="B99" s="12">
        <f>MONTH(Tabela1[[#This Row],[Data]])</f>
        <v>1</v>
      </c>
    </row>
    <row r="100" spans="2:2" x14ac:dyDescent="0.25">
      <c r="B100" s="12">
        <f>MONTH(Tabela1[[#This Row],[Data]])</f>
        <v>1</v>
      </c>
    </row>
    <row r="101" spans="2:2" x14ac:dyDescent="0.25">
      <c r="B101" s="12">
        <f>MONTH(Tabela1[[#This Row],[Data]])</f>
        <v>1</v>
      </c>
    </row>
    <row r="102" spans="2:2" x14ac:dyDescent="0.25">
      <c r="B102" s="12">
        <f>MONTH(Tabela1[[#This Row],[Data]])</f>
        <v>1</v>
      </c>
    </row>
    <row r="103" spans="2:2" x14ac:dyDescent="0.25">
      <c r="B103" s="12">
        <f>MONTH(Tabela1[[#This Row],[Data]])</f>
        <v>1</v>
      </c>
    </row>
    <row r="104" spans="2:2" x14ac:dyDescent="0.25">
      <c r="B104" s="12">
        <f>MONTH(Tabela1[[#This Row],[Data]])</f>
        <v>1</v>
      </c>
    </row>
    <row r="105" spans="2:2" x14ac:dyDescent="0.25">
      <c r="B105" s="12">
        <f>MONTH(Tabela1[[#This Row],[Data]])</f>
        <v>1</v>
      </c>
    </row>
    <row r="106" spans="2:2" x14ac:dyDescent="0.25">
      <c r="B106" s="12">
        <f>MONTH(Tabela1[[#This Row],[Data]])</f>
        <v>1</v>
      </c>
    </row>
    <row r="107" spans="2:2" x14ac:dyDescent="0.25">
      <c r="B107" s="12">
        <f>MONTH(Tabela1[[#This Row],[Data]])</f>
        <v>1</v>
      </c>
    </row>
    <row r="108" spans="2:2" x14ac:dyDescent="0.25">
      <c r="B108" s="12">
        <f>MONTH(Tabela1[[#This Row],[Data]])</f>
        <v>1</v>
      </c>
    </row>
    <row r="109" spans="2:2" x14ac:dyDescent="0.25">
      <c r="B109" s="12">
        <f>MONTH(Tabela1[[#This Row],[Data]])</f>
        <v>1</v>
      </c>
    </row>
    <row r="110" spans="2:2" x14ac:dyDescent="0.25">
      <c r="B110" s="12">
        <f>MONTH(Tabela1[[#This Row],[Data]])</f>
        <v>1</v>
      </c>
    </row>
    <row r="111" spans="2:2" x14ac:dyDescent="0.25">
      <c r="B111" s="12">
        <f>MONTH(Tabela1[[#This Row],[Data]])</f>
        <v>1</v>
      </c>
    </row>
    <row r="112" spans="2:2" x14ac:dyDescent="0.25">
      <c r="B112" s="12">
        <f>MONTH(Tabela1[[#This Row],[Data]])</f>
        <v>1</v>
      </c>
    </row>
    <row r="113" spans="2:2" x14ac:dyDescent="0.25">
      <c r="B113" s="12">
        <f>MONTH(Tabela1[[#This Row],[Data]])</f>
        <v>1</v>
      </c>
    </row>
    <row r="114" spans="2:2" x14ac:dyDescent="0.25">
      <c r="B114" s="12">
        <f>MONTH(Tabela1[[#This Row],[Data]])</f>
        <v>1</v>
      </c>
    </row>
    <row r="115" spans="2:2" x14ac:dyDescent="0.25">
      <c r="B115" s="12">
        <f>MONTH(Tabela1[[#This Row],[Data]])</f>
        <v>1</v>
      </c>
    </row>
    <row r="116" spans="2:2" x14ac:dyDescent="0.25">
      <c r="B116" s="12">
        <f>MONTH(Tabela1[[#This Row],[Data]])</f>
        <v>1</v>
      </c>
    </row>
    <row r="117" spans="2:2" x14ac:dyDescent="0.25">
      <c r="B117" s="12">
        <f>MONTH(Tabela1[[#This Row],[Data]])</f>
        <v>1</v>
      </c>
    </row>
    <row r="118" spans="2:2" x14ac:dyDescent="0.25">
      <c r="B118" s="12">
        <f>MONTH(Tabela1[[#This Row],[Data]])</f>
        <v>1</v>
      </c>
    </row>
    <row r="119" spans="2:2" x14ac:dyDescent="0.25">
      <c r="B119" s="12">
        <f>MONTH(Tabela1[[#This Row],[Data]])</f>
        <v>1</v>
      </c>
    </row>
    <row r="120" spans="2:2" x14ac:dyDescent="0.25">
      <c r="B120" s="12">
        <f>MONTH(Tabela1[[#This Row],[Data]])</f>
        <v>1</v>
      </c>
    </row>
    <row r="121" spans="2:2" x14ac:dyDescent="0.25">
      <c r="B121" s="12">
        <f>MONTH(Tabela1[[#This Row],[Data]])</f>
        <v>1</v>
      </c>
    </row>
    <row r="122" spans="2:2" x14ac:dyDescent="0.25">
      <c r="B122" s="12">
        <f>MONTH(Tabela1[[#This Row],[Data]])</f>
        <v>1</v>
      </c>
    </row>
    <row r="123" spans="2:2" x14ac:dyDescent="0.25">
      <c r="B123" s="12">
        <f>MONTH(Tabela1[[#This Row],[Data]])</f>
        <v>1</v>
      </c>
    </row>
    <row r="124" spans="2:2" x14ac:dyDescent="0.25">
      <c r="B124" s="12">
        <f>MONTH(Tabela1[[#This Row],[Data]])</f>
        <v>1</v>
      </c>
    </row>
    <row r="125" spans="2:2" x14ac:dyDescent="0.25">
      <c r="B125" s="12">
        <f>MONTH(Tabela1[[#This Row],[Data]])</f>
        <v>1</v>
      </c>
    </row>
    <row r="126" spans="2:2" x14ac:dyDescent="0.25">
      <c r="B126" s="12">
        <f>MONTH(Tabela1[[#This Row],[Data]])</f>
        <v>1</v>
      </c>
    </row>
    <row r="127" spans="2:2" x14ac:dyDescent="0.25">
      <c r="B127" s="12">
        <f>MONTH(Tabela1[[#This Row],[Data]])</f>
        <v>1</v>
      </c>
    </row>
    <row r="128" spans="2:2" x14ac:dyDescent="0.25">
      <c r="B128" s="12">
        <f>MONTH(Tabela1[[#This Row],[Data]])</f>
        <v>1</v>
      </c>
    </row>
    <row r="129" spans="2:2" x14ac:dyDescent="0.25">
      <c r="B129" s="12">
        <f>MONTH(Tabela1[[#This Row],[Data]])</f>
        <v>1</v>
      </c>
    </row>
    <row r="130" spans="2:2" x14ac:dyDescent="0.25">
      <c r="B130" s="12">
        <f>MONTH(Tabela1[[#This Row],[Data]])</f>
        <v>1</v>
      </c>
    </row>
    <row r="131" spans="2:2" x14ac:dyDescent="0.25">
      <c r="B131" s="12">
        <f>MONTH(Tabela1[[#This Row],[Data]])</f>
        <v>1</v>
      </c>
    </row>
    <row r="132" spans="2:2" x14ac:dyDescent="0.25">
      <c r="B132" s="12">
        <f>MONTH(Tabela1[[#This Row],[Data]])</f>
        <v>1</v>
      </c>
    </row>
    <row r="133" spans="2:2" x14ac:dyDescent="0.25">
      <c r="B133" s="12">
        <f>MONTH(Tabela1[[#This Row],[Data]])</f>
        <v>1</v>
      </c>
    </row>
    <row r="134" spans="2:2" x14ac:dyDescent="0.25">
      <c r="B134" s="12">
        <f>MONTH(Tabela1[[#This Row],[Data]])</f>
        <v>1</v>
      </c>
    </row>
    <row r="135" spans="2:2" x14ac:dyDescent="0.25">
      <c r="B135" s="12">
        <f>MONTH(Tabela1[[#This Row],[Data]])</f>
        <v>1</v>
      </c>
    </row>
    <row r="136" spans="2:2" x14ac:dyDescent="0.25">
      <c r="B136" s="12">
        <f>MONTH(Tabela1[[#This Row],[Data]])</f>
        <v>1</v>
      </c>
    </row>
    <row r="137" spans="2:2" x14ac:dyDescent="0.25">
      <c r="B137" s="12">
        <f>MONTH(Tabela1[[#This Row],[Data]])</f>
        <v>1</v>
      </c>
    </row>
    <row r="138" spans="2:2" x14ac:dyDescent="0.25">
      <c r="B138" s="12">
        <f>MONTH(Tabela1[[#This Row],[Data]])</f>
        <v>1</v>
      </c>
    </row>
    <row r="139" spans="2:2" x14ac:dyDescent="0.25">
      <c r="B139" s="12">
        <f>MONTH(Tabela1[[#This Row],[Data]])</f>
        <v>1</v>
      </c>
    </row>
    <row r="140" spans="2:2" x14ac:dyDescent="0.25">
      <c r="B140" s="12">
        <f>MONTH(Tabela1[[#This Row],[Data]])</f>
        <v>1</v>
      </c>
    </row>
    <row r="141" spans="2:2" x14ac:dyDescent="0.25">
      <c r="B141" s="12">
        <f>MONTH(Tabela1[[#This Row],[Data]])</f>
        <v>1</v>
      </c>
    </row>
    <row r="142" spans="2:2" x14ac:dyDescent="0.25">
      <c r="B142" s="12">
        <f>MONTH(Tabela1[[#This Row],[Data]])</f>
        <v>1</v>
      </c>
    </row>
    <row r="143" spans="2:2" x14ac:dyDescent="0.25">
      <c r="B143" s="12">
        <f>MONTH(Tabela1[[#This Row],[Data]])</f>
        <v>1</v>
      </c>
    </row>
    <row r="144" spans="2:2" x14ac:dyDescent="0.25">
      <c r="B144" s="12">
        <f>MONTH(Tabela1[[#This Row],[Data]])</f>
        <v>1</v>
      </c>
    </row>
    <row r="145" spans="2:2" x14ac:dyDescent="0.25">
      <c r="B145" s="12">
        <f>MONTH(Tabela1[[#This Row],[Data]])</f>
        <v>1</v>
      </c>
    </row>
    <row r="146" spans="2:2" x14ac:dyDescent="0.25">
      <c r="B146" s="12">
        <f>MONTH(Tabela1[[#This Row],[Data]])</f>
        <v>1</v>
      </c>
    </row>
    <row r="147" spans="2:2" x14ac:dyDescent="0.25">
      <c r="B147" s="12">
        <f>MONTH(Tabela1[[#This Row],[Data]])</f>
        <v>1</v>
      </c>
    </row>
    <row r="148" spans="2:2" x14ac:dyDescent="0.25">
      <c r="B148" s="12">
        <f>MONTH(Tabela1[[#This Row],[Data]])</f>
        <v>1</v>
      </c>
    </row>
    <row r="149" spans="2:2" x14ac:dyDescent="0.25">
      <c r="B149" s="12">
        <f>MONTH(Tabela1[[#This Row],[Data]])</f>
        <v>1</v>
      </c>
    </row>
    <row r="150" spans="2:2" x14ac:dyDescent="0.25">
      <c r="B150" s="12">
        <f>MONTH(Tabela1[[#This Row],[Data]])</f>
        <v>1</v>
      </c>
    </row>
    <row r="151" spans="2:2" x14ac:dyDescent="0.25">
      <c r="B151" s="12">
        <f>MONTH(Tabela1[[#This Row],[Data]])</f>
        <v>1</v>
      </c>
    </row>
    <row r="152" spans="2:2" x14ac:dyDescent="0.25">
      <c r="B152" s="12">
        <f>MONTH(Tabela1[[#This Row],[Data]])</f>
        <v>1</v>
      </c>
    </row>
    <row r="153" spans="2:2" x14ac:dyDescent="0.25">
      <c r="B153" s="12">
        <f>MONTH(Tabela1[[#This Row],[Data]])</f>
        <v>1</v>
      </c>
    </row>
    <row r="154" spans="2:2" x14ac:dyDescent="0.25">
      <c r="B154" s="12">
        <f>MONTH(Tabela1[[#This Row],[Data]])</f>
        <v>1</v>
      </c>
    </row>
    <row r="155" spans="2:2" x14ac:dyDescent="0.25">
      <c r="B155" s="12">
        <f>MONTH(Tabela1[[#This Row],[Data]])</f>
        <v>1</v>
      </c>
    </row>
    <row r="156" spans="2:2" x14ac:dyDescent="0.25">
      <c r="B156" s="12">
        <f>MONTH(Tabela1[[#This Row],[Data]])</f>
        <v>1</v>
      </c>
    </row>
    <row r="157" spans="2:2" x14ac:dyDescent="0.25">
      <c r="B157" s="12">
        <f>MONTH(Tabela1[[#This Row],[Data]])</f>
        <v>1</v>
      </c>
    </row>
    <row r="158" spans="2:2" x14ac:dyDescent="0.25">
      <c r="B158" s="12">
        <f>MONTH(Tabela1[[#This Row],[Data]])</f>
        <v>1</v>
      </c>
    </row>
    <row r="159" spans="2:2" x14ac:dyDescent="0.25">
      <c r="B159" s="12">
        <f>MONTH(Tabela1[[#This Row],[Data]])</f>
        <v>1</v>
      </c>
    </row>
    <row r="160" spans="2:2" x14ac:dyDescent="0.25">
      <c r="B160" s="12">
        <f>MONTH(Tabela1[[#This Row],[Data]])</f>
        <v>1</v>
      </c>
    </row>
    <row r="161" spans="2:2" x14ac:dyDescent="0.25">
      <c r="B161" s="12">
        <f>MONTH(Tabela1[[#This Row],[Data]])</f>
        <v>1</v>
      </c>
    </row>
    <row r="162" spans="2:2" x14ac:dyDescent="0.25">
      <c r="B162" s="12">
        <f>MONTH(Tabela1[[#This Row],[Data]])</f>
        <v>1</v>
      </c>
    </row>
    <row r="163" spans="2:2" x14ac:dyDescent="0.25">
      <c r="B163" s="12">
        <f>MONTH(Tabela1[[#This Row],[Data]])</f>
        <v>1</v>
      </c>
    </row>
    <row r="164" spans="2:2" x14ac:dyDescent="0.25">
      <c r="B164" s="12">
        <f>MONTH(Tabela1[[#This Row],[Data]])</f>
        <v>1</v>
      </c>
    </row>
    <row r="165" spans="2:2" x14ac:dyDescent="0.25">
      <c r="B165" s="12">
        <f>MONTH(Tabela1[[#This Row],[Data]])</f>
        <v>1</v>
      </c>
    </row>
    <row r="166" spans="2:2" x14ac:dyDescent="0.25">
      <c r="B166" s="12">
        <f>MONTH(Tabela1[[#This Row],[Data]])</f>
        <v>1</v>
      </c>
    </row>
    <row r="167" spans="2:2" x14ac:dyDescent="0.25">
      <c r="B167" s="12">
        <f>MONTH(Tabela1[[#This Row],[Data]])</f>
        <v>1</v>
      </c>
    </row>
    <row r="168" spans="2:2" x14ac:dyDescent="0.25">
      <c r="B168" s="12">
        <f>MONTH(Tabela1[[#This Row],[Data]])</f>
        <v>1</v>
      </c>
    </row>
    <row r="169" spans="2:2" x14ac:dyDescent="0.25">
      <c r="B169" s="12">
        <f>MONTH(Tabela1[[#This Row],[Data]])</f>
        <v>1</v>
      </c>
    </row>
    <row r="170" spans="2:2" x14ac:dyDescent="0.25">
      <c r="B170" s="12">
        <f>MONTH(Tabela1[[#This Row],[Data]])</f>
        <v>1</v>
      </c>
    </row>
    <row r="171" spans="2:2" x14ac:dyDescent="0.25">
      <c r="B171" s="12">
        <f>MONTH(Tabela1[[#This Row],[Data]])</f>
        <v>1</v>
      </c>
    </row>
    <row r="172" spans="2:2" x14ac:dyDescent="0.25">
      <c r="B172" s="12">
        <f>MONTH(Tabela1[[#This Row],[Data]])</f>
        <v>1</v>
      </c>
    </row>
    <row r="173" spans="2:2" x14ac:dyDescent="0.25">
      <c r="B173" s="12">
        <f>MONTH(Tabela1[[#This Row],[Data]])</f>
        <v>1</v>
      </c>
    </row>
    <row r="174" spans="2:2" x14ac:dyDescent="0.25">
      <c r="B174" s="12">
        <f>MONTH(Tabela1[[#This Row],[Data]])</f>
        <v>1</v>
      </c>
    </row>
    <row r="175" spans="2:2" x14ac:dyDescent="0.25">
      <c r="B175" s="12">
        <f>MONTH(Tabela1[[#This Row],[Data]])</f>
        <v>1</v>
      </c>
    </row>
    <row r="176" spans="2:2" x14ac:dyDescent="0.25">
      <c r="B176" s="12">
        <f>MONTH(Tabela1[[#This Row],[Data]])</f>
        <v>1</v>
      </c>
    </row>
    <row r="177" spans="2:2" x14ac:dyDescent="0.25">
      <c r="B177" s="12">
        <f>MONTH(Tabela1[[#This Row],[Data]])</f>
        <v>1</v>
      </c>
    </row>
    <row r="178" spans="2:2" x14ac:dyDescent="0.25">
      <c r="B178" s="12">
        <f>MONTH(Tabela1[[#This Row],[Data]])</f>
        <v>1</v>
      </c>
    </row>
    <row r="179" spans="2:2" x14ac:dyDescent="0.25">
      <c r="B179" s="12">
        <f>MONTH(Tabela1[[#This Row],[Data]])</f>
        <v>1</v>
      </c>
    </row>
    <row r="180" spans="2:2" x14ac:dyDescent="0.25">
      <c r="B180" s="12">
        <f>MONTH(Tabela1[[#This Row],[Data]])</f>
        <v>1</v>
      </c>
    </row>
    <row r="181" spans="2:2" x14ac:dyDescent="0.25">
      <c r="B181" s="12">
        <f>MONTH(Tabela1[[#This Row],[Data]])</f>
        <v>1</v>
      </c>
    </row>
    <row r="182" spans="2:2" x14ac:dyDescent="0.25">
      <c r="B182" s="12">
        <f>MONTH(Tabela1[[#This Row],[Data]])</f>
        <v>1</v>
      </c>
    </row>
    <row r="183" spans="2:2" x14ac:dyDescent="0.25">
      <c r="B183" s="12">
        <f>MONTH(Tabela1[[#This Row],[Data]])</f>
        <v>1</v>
      </c>
    </row>
    <row r="184" spans="2:2" x14ac:dyDescent="0.25">
      <c r="B184" s="12">
        <f>MONTH(Tabela1[[#This Row],[Data]])</f>
        <v>1</v>
      </c>
    </row>
    <row r="185" spans="2:2" x14ac:dyDescent="0.25">
      <c r="B185" s="12">
        <f>MONTH(Tabela1[[#This Row],[Data]])</f>
        <v>1</v>
      </c>
    </row>
    <row r="186" spans="2:2" x14ac:dyDescent="0.25">
      <c r="B186" s="12">
        <f>MONTH(Tabela1[[#This Row],[Data]])</f>
        <v>1</v>
      </c>
    </row>
    <row r="187" spans="2:2" x14ac:dyDescent="0.25">
      <c r="B187" s="12">
        <f>MONTH(Tabela1[[#This Row],[Data]])</f>
        <v>1</v>
      </c>
    </row>
    <row r="188" spans="2:2" x14ac:dyDescent="0.25">
      <c r="B188" s="12">
        <f>MONTH(Tabela1[[#This Row],[Data]])</f>
        <v>1</v>
      </c>
    </row>
    <row r="189" spans="2:2" x14ac:dyDescent="0.25">
      <c r="B189" s="12">
        <f>MONTH(Tabela1[[#This Row],[Data]])</f>
        <v>1</v>
      </c>
    </row>
    <row r="190" spans="2:2" x14ac:dyDescent="0.25">
      <c r="B190" s="12">
        <f>MONTH(Tabela1[[#This Row],[Data]])</f>
        <v>1</v>
      </c>
    </row>
    <row r="191" spans="2:2" x14ac:dyDescent="0.25">
      <c r="B191" s="12">
        <f>MONTH(Tabela1[[#This Row],[Data]])</f>
        <v>1</v>
      </c>
    </row>
    <row r="192" spans="2:2" x14ac:dyDescent="0.25">
      <c r="B192" s="12">
        <f>MONTH(Tabela1[[#This Row],[Data]])</f>
        <v>1</v>
      </c>
    </row>
    <row r="193" spans="2:2" x14ac:dyDescent="0.25">
      <c r="B193" s="12">
        <f>MONTH(Tabela1[[#This Row],[Data]])</f>
        <v>1</v>
      </c>
    </row>
    <row r="194" spans="2:2" x14ac:dyDescent="0.25">
      <c r="B194" s="12">
        <f>MONTH(Tabela1[[#This Row],[Data]])</f>
        <v>1</v>
      </c>
    </row>
    <row r="195" spans="2:2" x14ac:dyDescent="0.25">
      <c r="B195" s="12">
        <f>MONTH(Tabela1[[#This Row],[Data]])</f>
        <v>1</v>
      </c>
    </row>
    <row r="196" spans="2:2" x14ac:dyDescent="0.25">
      <c r="B196" s="12">
        <f>MONTH(Tabela1[[#This Row],[Data]])</f>
        <v>1</v>
      </c>
    </row>
    <row r="197" spans="2:2" x14ac:dyDescent="0.25">
      <c r="B197" s="12">
        <f>MONTH(Tabela1[[#This Row],[Data]])</f>
        <v>1</v>
      </c>
    </row>
    <row r="198" spans="2:2" x14ac:dyDescent="0.25">
      <c r="B198" s="12">
        <f>MONTH(Tabela1[[#This Row],[Data]])</f>
        <v>1</v>
      </c>
    </row>
    <row r="199" spans="2:2" x14ac:dyDescent="0.25">
      <c r="B199" s="12">
        <f>MONTH(Tabela1[[#This Row],[Data]])</f>
        <v>1</v>
      </c>
    </row>
    <row r="200" spans="2:2" x14ac:dyDescent="0.25">
      <c r="B200" s="12">
        <f>MONTH(Tabela1[[#This Row],[Data]])</f>
        <v>1</v>
      </c>
    </row>
    <row r="201" spans="2:2" x14ac:dyDescent="0.25">
      <c r="B201" s="12">
        <f>MONTH(Tabela1[[#This Row],[Data]])</f>
        <v>1</v>
      </c>
    </row>
    <row r="202" spans="2:2" x14ac:dyDescent="0.25">
      <c r="B202" s="12">
        <f>MONTH(Tabela1[[#This Row],[Data]])</f>
        <v>1</v>
      </c>
    </row>
    <row r="203" spans="2:2" x14ac:dyDescent="0.25">
      <c r="B203" s="12">
        <f>MONTH(Tabela1[[#This Row],[Data]])</f>
        <v>1</v>
      </c>
    </row>
    <row r="204" spans="2:2" x14ac:dyDescent="0.25">
      <c r="B204" s="12">
        <f>MONTH(Tabela1[[#This Row],[Data]])</f>
        <v>1</v>
      </c>
    </row>
    <row r="205" spans="2:2" x14ac:dyDescent="0.25">
      <c r="B205" s="12">
        <f>MONTH(Tabela1[[#This Row],[Data]])</f>
        <v>1</v>
      </c>
    </row>
    <row r="206" spans="2:2" x14ac:dyDescent="0.25">
      <c r="B206" s="12">
        <f>MONTH(Tabela1[[#This Row],[Data]])</f>
        <v>1</v>
      </c>
    </row>
    <row r="207" spans="2:2" x14ac:dyDescent="0.25">
      <c r="B207" s="12">
        <f>MONTH(Tabela1[[#This Row],[Data]])</f>
        <v>1</v>
      </c>
    </row>
    <row r="208" spans="2:2" x14ac:dyDescent="0.25">
      <c r="B208" s="12">
        <f>MONTH(Tabela1[[#This Row],[Data]])</f>
        <v>1</v>
      </c>
    </row>
    <row r="209" spans="2:2" x14ac:dyDescent="0.25">
      <c r="B209" s="12">
        <f>MONTH(Tabela1[[#This Row],[Data]])</f>
        <v>1</v>
      </c>
    </row>
    <row r="210" spans="2:2" x14ac:dyDescent="0.25">
      <c r="B210" s="12">
        <f>MONTH(Tabela1[[#This Row],[Data]])</f>
        <v>1</v>
      </c>
    </row>
    <row r="211" spans="2:2" x14ac:dyDescent="0.25">
      <c r="B211" s="12">
        <f>MONTH(Tabela1[[#This Row],[Data]])</f>
        <v>1</v>
      </c>
    </row>
    <row r="212" spans="2:2" x14ac:dyDescent="0.25">
      <c r="B212" s="12">
        <f>MONTH(Tabela1[[#This Row],[Data]])</f>
        <v>1</v>
      </c>
    </row>
    <row r="213" spans="2:2" x14ac:dyDescent="0.25">
      <c r="B213" s="12">
        <f>MONTH(Tabela1[[#This Row],[Data]])</f>
        <v>1</v>
      </c>
    </row>
    <row r="214" spans="2:2" x14ac:dyDescent="0.25">
      <c r="B214" s="12">
        <f>MONTH(Tabela1[[#This Row],[Data]])</f>
        <v>1</v>
      </c>
    </row>
    <row r="215" spans="2:2" x14ac:dyDescent="0.25">
      <c r="B215" s="12">
        <f>MONTH(Tabela1[[#This Row],[Data]])</f>
        <v>1</v>
      </c>
    </row>
    <row r="216" spans="2:2" x14ac:dyDescent="0.25">
      <c r="B216" s="12">
        <f>MONTH(Tabela1[[#This Row],[Data]])</f>
        <v>1</v>
      </c>
    </row>
    <row r="217" spans="2:2" x14ac:dyDescent="0.25">
      <c r="B217" s="12">
        <f>MONTH(Tabela1[[#This Row],[Data]])</f>
        <v>1</v>
      </c>
    </row>
    <row r="218" spans="2:2" x14ac:dyDescent="0.25">
      <c r="B218" s="12">
        <f>MONTH(Tabela1[[#This Row],[Data]])</f>
        <v>1</v>
      </c>
    </row>
    <row r="219" spans="2:2" x14ac:dyDescent="0.25">
      <c r="B219" s="12">
        <f>MONTH(Tabela1[[#This Row],[Data]])</f>
        <v>1</v>
      </c>
    </row>
    <row r="220" spans="2:2" x14ac:dyDescent="0.25">
      <c r="B220" s="12">
        <f>MONTH(Tabela1[[#This Row],[Data]])</f>
        <v>1</v>
      </c>
    </row>
    <row r="221" spans="2:2" x14ac:dyDescent="0.25">
      <c r="B221" s="12">
        <f>MONTH(Tabela1[[#This Row],[Data]])</f>
        <v>1</v>
      </c>
    </row>
    <row r="222" spans="2:2" x14ac:dyDescent="0.25">
      <c r="B222" s="12">
        <f>MONTH(Tabela1[[#This Row],[Data]])</f>
        <v>1</v>
      </c>
    </row>
    <row r="223" spans="2:2" x14ac:dyDescent="0.25">
      <c r="B223" s="12">
        <f>MONTH(Tabela1[[#This Row],[Data]])</f>
        <v>1</v>
      </c>
    </row>
    <row r="224" spans="2:2" x14ac:dyDescent="0.25">
      <c r="B224" s="12">
        <f>MONTH(Tabela1[[#This Row],[Data]])</f>
        <v>1</v>
      </c>
    </row>
    <row r="225" spans="2:2" x14ac:dyDescent="0.25">
      <c r="B225" s="12">
        <f>MONTH(Tabela1[[#This Row],[Data]])</f>
        <v>1</v>
      </c>
    </row>
    <row r="226" spans="2:2" x14ac:dyDescent="0.25">
      <c r="B226" s="12">
        <f>MONTH(Tabela1[[#This Row],[Data]])</f>
        <v>1</v>
      </c>
    </row>
    <row r="227" spans="2:2" x14ac:dyDescent="0.25">
      <c r="B227" s="12">
        <f>MONTH(Tabela1[[#This Row],[Data]])</f>
        <v>1</v>
      </c>
    </row>
    <row r="228" spans="2:2" x14ac:dyDescent="0.25">
      <c r="B228" s="12">
        <f>MONTH(Tabela1[[#This Row],[Data]])</f>
        <v>1</v>
      </c>
    </row>
    <row r="229" spans="2:2" x14ac:dyDescent="0.25">
      <c r="B229" s="12">
        <f>MONTH(Tabela1[[#This Row],[Data]])</f>
        <v>1</v>
      </c>
    </row>
    <row r="230" spans="2:2" x14ac:dyDescent="0.25">
      <c r="B230" s="12">
        <f>MONTH(Tabela1[[#This Row],[Data]])</f>
        <v>1</v>
      </c>
    </row>
    <row r="231" spans="2:2" x14ac:dyDescent="0.25">
      <c r="B231" s="12">
        <f>MONTH(Tabela1[[#This Row],[Data]])</f>
        <v>1</v>
      </c>
    </row>
    <row r="232" spans="2:2" x14ac:dyDescent="0.25">
      <c r="B232" s="12">
        <f>MONTH(Tabela1[[#This Row],[Data]])</f>
        <v>1</v>
      </c>
    </row>
    <row r="233" spans="2:2" x14ac:dyDescent="0.25">
      <c r="B233" s="12">
        <f>MONTH(Tabela1[[#This Row],[Data]])</f>
        <v>1</v>
      </c>
    </row>
    <row r="234" spans="2:2" x14ac:dyDescent="0.25">
      <c r="B234" s="12">
        <f>MONTH(Tabela1[[#This Row],[Data]])</f>
        <v>1</v>
      </c>
    </row>
    <row r="235" spans="2:2" x14ac:dyDescent="0.25">
      <c r="B235" s="12">
        <f>MONTH(Tabela1[[#This Row],[Data]])</f>
        <v>1</v>
      </c>
    </row>
    <row r="236" spans="2:2" x14ac:dyDescent="0.25">
      <c r="B236" s="12">
        <f>MONTH(Tabela1[[#This Row],[Data]])</f>
        <v>1</v>
      </c>
    </row>
    <row r="237" spans="2:2" x14ac:dyDescent="0.25">
      <c r="B237" s="12">
        <f>MONTH(Tabela1[[#This Row],[Data]])</f>
        <v>1</v>
      </c>
    </row>
    <row r="238" spans="2:2" x14ac:dyDescent="0.25">
      <c r="B238" s="12">
        <f>MONTH(Tabela1[[#This Row],[Data]])</f>
        <v>1</v>
      </c>
    </row>
    <row r="239" spans="2:2" x14ac:dyDescent="0.25">
      <c r="B239" s="12">
        <f>MONTH(Tabela1[[#This Row],[Data]])</f>
        <v>1</v>
      </c>
    </row>
    <row r="240" spans="2:2" x14ac:dyDescent="0.25">
      <c r="B240" s="12">
        <f>MONTH(Tabela1[[#This Row],[Data]])</f>
        <v>1</v>
      </c>
    </row>
    <row r="241" spans="2:2" x14ac:dyDescent="0.25">
      <c r="B241" s="12">
        <f>MONTH(Tabela1[[#This Row],[Data]])</f>
        <v>1</v>
      </c>
    </row>
    <row r="242" spans="2:2" x14ac:dyDescent="0.25">
      <c r="B242" s="12">
        <f>MONTH(Tabela1[[#This Row],[Data]])</f>
        <v>1</v>
      </c>
    </row>
    <row r="243" spans="2:2" x14ac:dyDescent="0.25">
      <c r="B243" s="12">
        <f>MONTH(Tabela1[[#This Row],[Data]])</f>
        <v>1</v>
      </c>
    </row>
    <row r="244" spans="2:2" x14ac:dyDescent="0.25">
      <c r="B244" s="12">
        <f>MONTH(Tabela1[[#This Row],[Data]])</f>
        <v>1</v>
      </c>
    </row>
    <row r="245" spans="2:2" x14ac:dyDescent="0.25">
      <c r="B245" s="12">
        <f>MONTH(Tabela1[[#This Row],[Data]])</f>
        <v>1</v>
      </c>
    </row>
    <row r="246" spans="2:2" x14ac:dyDescent="0.25">
      <c r="B246" s="12">
        <f>MONTH(Tabela1[[#This Row],[Data]])</f>
        <v>1</v>
      </c>
    </row>
    <row r="247" spans="2:2" x14ac:dyDescent="0.25">
      <c r="B247" s="12">
        <f>MONTH(Tabela1[[#This Row],[Data]])</f>
        <v>1</v>
      </c>
    </row>
    <row r="248" spans="2:2" x14ac:dyDescent="0.25">
      <c r="B248" s="12">
        <f>MONTH(Tabela1[[#This Row],[Data]])</f>
        <v>1</v>
      </c>
    </row>
    <row r="249" spans="2:2" x14ac:dyDescent="0.25">
      <c r="B249" s="12">
        <f>MONTH(Tabela1[[#This Row],[Data]])</f>
        <v>1</v>
      </c>
    </row>
    <row r="250" spans="2:2" x14ac:dyDescent="0.25">
      <c r="B250" s="12">
        <f>MONTH(Tabela1[[#This Row],[Data]])</f>
        <v>1</v>
      </c>
    </row>
    <row r="251" spans="2:2" x14ac:dyDescent="0.25">
      <c r="B251" s="12">
        <f>MONTH(Tabela1[[#This Row],[Data]])</f>
        <v>1</v>
      </c>
    </row>
    <row r="252" spans="2:2" x14ac:dyDescent="0.25">
      <c r="B252" s="12">
        <f>MONTH(Tabela1[[#This Row],[Data]])</f>
        <v>1</v>
      </c>
    </row>
    <row r="253" spans="2:2" x14ac:dyDescent="0.25">
      <c r="B253" s="12">
        <f>MONTH(Tabela1[[#This Row],[Data]])</f>
        <v>1</v>
      </c>
    </row>
    <row r="254" spans="2:2" x14ac:dyDescent="0.25">
      <c r="B254" s="12">
        <f>MONTH(Tabela1[[#This Row],[Data]])</f>
        <v>1</v>
      </c>
    </row>
    <row r="255" spans="2:2" x14ac:dyDescent="0.25">
      <c r="B255" s="12">
        <f>MONTH(Tabela1[[#This Row],[Data]])</f>
        <v>1</v>
      </c>
    </row>
    <row r="256" spans="2:2" x14ac:dyDescent="0.25">
      <c r="B256" s="12">
        <f>MONTH(Tabela1[[#This Row],[Data]])</f>
        <v>1</v>
      </c>
    </row>
    <row r="257" spans="2:2" x14ac:dyDescent="0.25">
      <c r="B257" s="12">
        <f>MONTH(Tabela1[[#This Row],[Data]])</f>
        <v>1</v>
      </c>
    </row>
    <row r="258" spans="2:2" x14ac:dyDescent="0.25">
      <c r="B258" s="12">
        <f>MONTH(Tabela1[[#This Row],[Data]])</f>
        <v>1</v>
      </c>
    </row>
    <row r="259" spans="2:2" x14ac:dyDescent="0.25">
      <c r="B259" s="12">
        <f>MONTH(Tabela1[[#This Row],[Data]])</f>
        <v>1</v>
      </c>
    </row>
    <row r="260" spans="2:2" x14ac:dyDescent="0.25">
      <c r="B260" s="12">
        <f>MONTH(Tabela1[[#This Row],[Data]])</f>
        <v>1</v>
      </c>
    </row>
    <row r="261" spans="2:2" x14ac:dyDescent="0.25">
      <c r="B261" s="12">
        <f>MONTH(Tabela1[[#This Row],[Data]])</f>
        <v>1</v>
      </c>
    </row>
    <row r="262" spans="2:2" x14ac:dyDescent="0.25">
      <c r="B262" s="12">
        <f>MONTH(Tabela1[[#This Row],[Data]])</f>
        <v>1</v>
      </c>
    </row>
    <row r="263" spans="2:2" x14ac:dyDescent="0.25">
      <c r="B263" s="12">
        <f>MONTH(Tabela1[[#This Row],[Data]])</f>
        <v>1</v>
      </c>
    </row>
    <row r="264" spans="2:2" x14ac:dyDescent="0.25">
      <c r="B264" s="12">
        <f>MONTH(Tabela1[[#This Row],[Data]])</f>
        <v>1</v>
      </c>
    </row>
    <row r="265" spans="2:2" x14ac:dyDescent="0.25">
      <c r="B265" s="12">
        <f>MONTH(Tabela1[[#This Row],[Data]])</f>
        <v>1</v>
      </c>
    </row>
    <row r="266" spans="2:2" x14ac:dyDescent="0.25">
      <c r="B266" s="12">
        <f>MONTH(Tabela1[[#This Row],[Data]])</f>
        <v>1</v>
      </c>
    </row>
    <row r="267" spans="2:2" x14ac:dyDescent="0.25">
      <c r="B267" s="12">
        <f>MONTH(Tabela1[[#This Row],[Data]])</f>
        <v>1</v>
      </c>
    </row>
    <row r="268" spans="2:2" x14ac:dyDescent="0.25">
      <c r="B268" s="12">
        <f>MONTH(Tabela1[[#This Row],[Data]])</f>
        <v>1</v>
      </c>
    </row>
    <row r="269" spans="2:2" x14ac:dyDescent="0.25">
      <c r="B269" s="12">
        <f>MONTH(Tabela1[[#This Row],[Data]])</f>
        <v>1</v>
      </c>
    </row>
    <row r="270" spans="2:2" x14ac:dyDescent="0.25">
      <c r="B270" s="12">
        <f>MONTH(Tabela1[[#This Row],[Data]])</f>
        <v>1</v>
      </c>
    </row>
    <row r="271" spans="2:2" x14ac:dyDescent="0.25">
      <c r="B271" s="12">
        <f>MONTH(Tabela1[[#This Row],[Data]])</f>
        <v>1</v>
      </c>
    </row>
    <row r="272" spans="2:2" x14ac:dyDescent="0.25">
      <c r="B272" s="12">
        <f>MONTH(Tabela1[[#This Row],[Data]])</f>
        <v>1</v>
      </c>
    </row>
    <row r="273" spans="2:2" x14ac:dyDescent="0.25">
      <c r="B273" s="12">
        <f>MONTH(Tabela1[[#This Row],[Data]])</f>
        <v>1</v>
      </c>
    </row>
    <row r="274" spans="2:2" x14ac:dyDescent="0.25">
      <c r="B274" s="12">
        <f>MONTH(Tabela1[[#This Row],[Data]])</f>
        <v>1</v>
      </c>
    </row>
    <row r="275" spans="2:2" x14ac:dyDescent="0.25">
      <c r="B275" s="12">
        <f>MONTH(Tabela1[[#This Row],[Data]])</f>
        <v>1</v>
      </c>
    </row>
    <row r="276" spans="2:2" x14ac:dyDescent="0.25">
      <c r="B276" s="12">
        <f>MONTH(Tabela1[[#This Row],[Data]])</f>
        <v>1</v>
      </c>
    </row>
    <row r="277" spans="2:2" x14ac:dyDescent="0.25">
      <c r="B277" s="12">
        <f>MONTH(Tabela1[[#This Row],[Data]])</f>
        <v>1</v>
      </c>
    </row>
    <row r="278" spans="2:2" x14ac:dyDescent="0.25">
      <c r="B278" s="12">
        <f>MONTH(Tabela1[[#This Row],[Data]])</f>
        <v>1</v>
      </c>
    </row>
    <row r="279" spans="2:2" x14ac:dyDescent="0.25">
      <c r="B279" s="12">
        <f>MONTH(Tabela1[[#This Row],[Data]])</f>
        <v>1</v>
      </c>
    </row>
    <row r="280" spans="2:2" x14ac:dyDescent="0.25">
      <c r="B280" s="12">
        <f>MONTH(Tabela1[[#This Row],[Data]])</f>
        <v>1</v>
      </c>
    </row>
    <row r="281" spans="2:2" x14ac:dyDescent="0.25">
      <c r="B281" s="12">
        <f>MONTH(Tabela1[[#This Row],[Data]])</f>
        <v>1</v>
      </c>
    </row>
    <row r="282" spans="2:2" x14ac:dyDescent="0.25">
      <c r="B282" s="12">
        <f>MONTH(Tabela1[[#This Row],[Data]])</f>
        <v>1</v>
      </c>
    </row>
    <row r="283" spans="2:2" x14ac:dyDescent="0.25">
      <c r="B283" s="12">
        <f>MONTH(Tabela1[[#This Row],[Data]])</f>
        <v>1</v>
      </c>
    </row>
    <row r="284" spans="2:2" x14ac:dyDescent="0.25">
      <c r="B284" s="12">
        <f>MONTH(Tabela1[[#This Row],[Data]])</f>
        <v>1</v>
      </c>
    </row>
    <row r="285" spans="2:2" x14ac:dyDescent="0.25">
      <c r="B285" s="12">
        <f>MONTH(Tabela1[[#This Row],[Data]])</f>
        <v>1</v>
      </c>
    </row>
    <row r="286" spans="2:2" x14ac:dyDescent="0.25">
      <c r="B286" s="12">
        <f>MONTH(Tabela1[[#This Row],[Data]])</f>
        <v>1</v>
      </c>
    </row>
    <row r="287" spans="2:2" x14ac:dyDescent="0.25">
      <c r="B287" s="12">
        <f>MONTH(Tabela1[[#This Row],[Data]])</f>
        <v>1</v>
      </c>
    </row>
    <row r="288" spans="2:2" x14ac:dyDescent="0.25">
      <c r="B288" s="12">
        <f>MONTH(Tabela1[[#This Row],[Data]])</f>
        <v>1</v>
      </c>
    </row>
    <row r="289" spans="2:2" x14ac:dyDescent="0.25">
      <c r="B289" s="12">
        <f>MONTH(Tabela1[[#This Row],[Data]])</f>
        <v>1</v>
      </c>
    </row>
    <row r="290" spans="2:2" x14ac:dyDescent="0.25">
      <c r="B290" s="12">
        <f>MONTH(Tabela1[[#This Row],[Data]])</f>
        <v>1</v>
      </c>
    </row>
    <row r="291" spans="2:2" x14ac:dyDescent="0.25">
      <c r="B291" s="12">
        <f>MONTH(Tabela1[[#This Row],[Data]])</f>
        <v>1</v>
      </c>
    </row>
    <row r="292" spans="2:2" x14ac:dyDescent="0.25">
      <c r="B292" s="12">
        <f>MONTH(Tabela1[[#This Row],[Data]])</f>
        <v>1</v>
      </c>
    </row>
    <row r="293" spans="2:2" x14ac:dyDescent="0.25">
      <c r="B293" s="12">
        <f>MONTH(Tabela1[[#This Row],[Data]])</f>
        <v>1</v>
      </c>
    </row>
    <row r="294" spans="2:2" x14ac:dyDescent="0.25">
      <c r="B294" s="12">
        <f>MONTH(Tabela1[[#This Row],[Data]])</f>
        <v>1</v>
      </c>
    </row>
    <row r="295" spans="2:2" x14ac:dyDescent="0.25">
      <c r="B295" s="12">
        <f>MONTH(Tabela1[[#This Row],[Data]])</f>
        <v>1</v>
      </c>
    </row>
    <row r="296" spans="2:2" x14ac:dyDescent="0.25">
      <c r="B296" s="12">
        <f>MONTH(Tabela1[[#This Row],[Data]])</f>
        <v>1</v>
      </c>
    </row>
    <row r="297" spans="2:2" x14ac:dyDescent="0.25">
      <c r="B297" s="12">
        <f>MONTH(Tabela1[[#This Row],[Data]])</f>
        <v>1</v>
      </c>
    </row>
    <row r="298" spans="2:2" x14ac:dyDescent="0.25">
      <c r="B298" s="12">
        <f>MONTH(Tabela1[[#This Row],[Data]])</f>
        <v>1</v>
      </c>
    </row>
    <row r="299" spans="2:2" x14ac:dyDescent="0.25">
      <c r="B299" s="12">
        <f>MONTH(Tabela1[[#This Row],[Data]])</f>
        <v>1</v>
      </c>
    </row>
    <row r="300" spans="2:2" x14ac:dyDescent="0.25">
      <c r="B300" s="12">
        <f>MONTH(Tabela1[[#This Row],[Data]])</f>
        <v>1</v>
      </c>
    </row>
    <row r="301" spans="2:2" x14ac:dyDescent="0.25">
      <c r="B301" s="12">
        <f>MONTH(Tabela1[[#This Row],[Data]])</f>
        <v>1</v>
      </c>
    </row>
    <row r="302" spans="2:2" x14ac:dyDescent="0.25">
      <c r="B302" s="12">
        <f>MONTH(Tabela1[[#This Row],[Data]])</f>
        <v>1</v>
      </c>
    </row>
    <row r="303" spans="2:2" x14ac:dyDescent="0.25">
      <c r="B303" s="12">
        <f>MONTH(Tabela1[[#This Row],[Data]])</f>
        <v>1</v>
      </c>
    </row>
    <row r="304" spans="2:2" x14ac:dyDescent="0.25">
      <c r="B304" s="12">
        <f>MONTH(Tabela1[[#This Row],[Data]])</f>
        <v>1</v>
      </c>
    </row>
    <row r="305" spans="2:2" x14ac:dyDescent="0.25">
      <c r="B305" s="12">
        <f>MONTH(Tabela1[[#This Row],[Data]])</f>
        <v>1</v>
      </c>
    </row>
    <row r="306" spans="2:2" x14ac:dyDescent="0.25">
      <c r="B306" s="12">
        <f>MONTH(Tabela1[[#This Row],[Data]])</f>
        <v>1</v>
      </c>
    </row>
    <row r="307" spans="2:2" x14ac:dyDescent="0.25">
      <c r="B307" s="12">
        <f>MONTH(Tabela1[[#This Row],[Data]])</f>
        <v>1</v>
      </c>
    </row>
    <row r="308" spans="2:2" x14ac:dyDescent="0.25">
      <c r="B308" s="12">
        <f>MONTH(Tabela1[[#This Row],[Data]])</f>
        <v>1</v>
      </c>
    </row>
  </sheetData>
  <phoneticPr fontId="3" type="noConversion"/>
  <pageMargins left="0.7" right="0.7" top="0.75" bottom="0.75" header="0.3" footer="0.3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BE1519-5F13-45DB-AF78-A87BC6562B3F}">
          <x14:formula1>
            <xm:f>Configurações!$W$5:$W$17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B2FA-4156-4F98-9D81-A764D7FE82E2}">
  <sheetPr codeName="Planilha3">
    <tabColor theme="4" tint="-0.249977111117893"/>
  </sheetPr>
  <dimension ref="A1:A73"/>
  <sheetViews>
    <sheetView showGridLines="0" showRowColHeaders="0" zoomScaleNormal="100" workbookViewId="0">
      <selection activeCell="C1" sqref="C1"/>
    </sheetView>
  </sheetViews>
  <sheetFormatPr defaultRowHeight="15" x14ac:dyDescent="0.25"/>
  <cols>
    <col min="1" max="1" width="14.28515625" style="9" customWidth="1"/>
    <col min="2" max="22" width="9.140625" style="9"/>
    <col min="23" max="23" width="14.28515625" style="9" customWidth="1"/>
    <col min="24" max="16384" width="9.140625" style="9"/>
  </cols>
  <sheetData>
    <row r="1" ht="75" customHeight="1" x14ac:dyDescent="0.25"/>
    <row r="28" ht="31.5" customHeight="1" x14ac:dyDescent="0.25"/>
    <row r="73" ht="75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9CB3-2723-4578-9F5A-95067BD34835}">
  <sheetPr codeName="Planilha2">
    <tabColor theme="1"/>
  </sheetPr>
  <dimension ref="A1:AK27"/>
  <sheetViews>
    <sheetView workbookViewId="0">
      <selection activeCell="H8" sqref="H8"/>
    </sheetView>
  </sheetViews>
  <sheetFormatPr defaultRowHeight="15" x14ac:dyDescent="0.25"/>
  <cols>
    <col min="1" max="1" width="18" bestFit="1" customWidth="1"/>
    <col min="2" max="2" width="13.85546875" bestFit="1" customWidth="1"/>
    <col min="3" max="4" width="14.85546875" bestFit="1" customWidth="1"/>
    <col min="5" max="5" width="17.28515625" bestFit="1" customWidth="1"/>
    <col min="6" max="6" width="24.140625" bestFit="1" customWidth="1"/>
    <col min="7" max="7" width="22.85546875" bestFit="1" customWidth="1"/>
    <col min="8" max="8" width="14.85546875" bestFit="1" customWidth="1"/>
    <col min="9" max="9" width="19.140625" bestFit="1" customWidth="1"/>
    <col min="10" max="12" width="27.85546875" hidden="1" customWidth="1"/>
    <col min="13" max="16" width="15" hidden="1" customWidth="1"/>
    <col min="17" max="17" width="12.140625" hidden="1" customWidth="1"/>
    <col min="18" max="18" width="10.5703125" hidden="1" customWidth="1"/>
    <col min="19" max="19" width="9.28515625" hidden="1" customWidth="1"/>
    <col min="20" max="20" width="7.140625" hidden="1" customWidth="1"/>
    <col min="21" max="21" width="23.7109375" hidden="1" customWidth="1"/>
    <col min="22" max="22" width="8.140625" hidden="1" customWidth="1"/>
    <col min="23" max="23" width="18.28515625" customWidth="1"/>
    <col min="24" max="24" width="15" bestFit="1" customWidth="1"/>
    <col min="25" max="25" width="11.28515625" bestFit="1" customWidth="1"/>
    <col min="26" max="27" width="13.28515625" bestFit="1" customWidth="1"/>
    <col min="28" max="30" width="14.28515625" bestFit="1" customWidth="1"/>
    <col min="31" max="37" width="15.85546875" bestFit="1" customWidth="1"/>
  </cols>
  <sheetData>
    <row r="1" spans="1:37" ht="15" customHeight="1" x14ac:dyDescent="0.25">
      <c r="U1" s="30"/>
      <c r="V1" s="32"/>
      <c r="W1" s="53" t="s">
        <v>29</v>
      </c>
      <c r="X1" t="s">
        <v>22</v>
      </c>
      <c r="Y1" s="2" t="s">
        <v>33</v>
      </c>
      <c r="Z1" s="2" t="s">
        <v>35</v>
      </c>
      <c r="AA1" s="2" t="s">
        <v>36</v>
      </c>
      <c r="AB1" s="2" t="s">
        <v>37</v>
      </c>
      <c r="AC1" s="2" t="s">
        <v>38</v>
      </c>
      <c r="AD1" s="2" t="s">
        <v>39</v>
      </c>
      <c r="AE1" s="2" t="s">
        <v>40</v>
      </c>
      <c r="AF1" s="2" t="s">
        <v>41</v>
      </c>
      <c r="AG1" s="2" t="s">
        <v>34</v>
      </c>
      <c r="AH1" s="2" t="s">
        <v>42</v>
      </c>
      <c r="AI1" s="2" t="s">
        <v>43</v>
      </c>
      <c r="AJ1" s="2" t="s">
        <v>44</v>
      </c>
      <c r="AK1" s="2" t="s">
        <v>45</v>
      </c>
    </row>
    <row r="2" spans="1:37" ht="15" customHeight="1" x14ac:dyDescent="0.25">
      <c r="U2" s="30"/>
      <c r="V2" s="32"/>
      <c r="W2" s="53"/>
      <c r="X2" s="7" t="s">
        <v>5</v>
      </c>
      <c r="Y2" s="8">
        <v>0</v>
      </c>
      <c r="Z2" s="3">
        <v>100</v>
      </c>
      <c r="AA2" s="3">
        <v>250</v>
      </c>
      <c r="AB2" s="3">
        <v>500</v>
      </c>
      <c r="AC2" s="3">
        <v>800</v>
      </c>
      <c r="AD2" s="3">
        <v>1300</v>
      </c>
      <c r="AE2" s="3">
        <v>2000</v>
      </c>
      <c r="AF2" s="3">
        <v>3000</v>
      </c>
      <c r="AG2" s="3">
        <v>4500</v>
      </c>
      <c r="AH2" s="3">
        <v>6000</v>
      </c>
      <c r="AI2" s="3">
        <v>8000</v>
      </c>
      <c r="AJ2" s="3">
        <v>10000</v>
      </c>
      <c r="AK2" s="3">
        <v>12000</v>
      </c>
    </row>
    <row r="3" spans="1:37" ht="15" customHeight="1" x14ac:dyDescent="0.25">
      <c r="U3" s="30"/>
      <c r="V3" s="32"/>
      <c r="W3" s="53"/>
      <c r="X3" t="s">
        <v>21</v>
      </c>
      <c r="Y3" s="8">
        <v>0</v>
      </c>
      <c r="Z3" s="3">
        <v>35</v>
      </c>
      <c r="AA3" s="3">
        <v>72</v>
      </c>
      <c r="AB3" s="3">
        <v>140</v>
      </c>
      <c r="AC3" s="3">
        <v>200</v>
      </c>
      <c r="AD3" s="3">
        <v>325</v>
      </c>
      <c r="AE3" s="3">
        <v>500</v>
      </c>
      <c r="AF3" s="3">
        <v>840</v>
      </c>
      <c r="AG3" s="3">
        <v>1260</v>
      </c>
      <c r="AH3" s="3">
        <v>1800</v>
      </c>
      <c r="AI3" s="3">
        <v>2400</v>
      </c>
      <c r="AJ3" s="3">
        <v>3200</v>
      </c>
      <c r="AK3" s="3">
        <v>4200</v>
      </c>
    </row>
    <row r="4" spans="1:37" ht="15" customHeight="1" x14ac:dyDescent="0.25">
      <c r="A4" s="14" t="s">
        <v>16</v>
      </c>
      <c r="B4" s="14" t="s">
        <v>18</v>
      </c>
      <c r="C4" s="2" t="s">
        <v>22</v>
      </c>
      <c r="D4" s="2" t="s">
        <v>31</v>
      </c>
      <c r="E4" s="2" t="s">
        <v>26</v>
      </c>
      <c r="F4" s="2" t="s">
        <v>28</v>
      </c>
      <c r="G4" s="2" t="s">
        <v>27</v>
      </c>
      <c r="H4" s="49" t="s">
        <v>22</v>
      </c>
      <c r="I4" s="50" t="s">
        <v>32</v>
      </c>
      <c r="U4" s="30"/>
      <c r="V4" s="32"/>
      <c r="W4" s="53"/>
      <c r="X4" s="7" t="s">
        <v>6</v>
      </c>
      <c r="Y4" s="8">
        <v>0</v>
      </c>
      <c r="Z4" s="3">
        <v>500</v>
      </c>
      <c r="AA4" s="3">
        <v>1250</v>
      </c>
      <c r="AB4" s="3">
        <v>3250</v>
      </c>
      <c r="AC4" s="3">
        <v>5500</v>
      </c>
      <c r="AD4" s="3">
        <v>8000</v>
      </c>
      <c r="AE4" s="3">
        <v>12000</v>
      </c>
      <c r="AF4" s="3">
        <v>16000</v>
      </c>
      <c r="AG4" s="3">
        <v>20000</v>
      </c>
      <c r="AH4" s="3">
        <v>25000</v>
      </c>
      <c r="AI4" s="3">
        <v>31000</v>
      </c>
      <c r="AJ4" s="3">
        <v>37000</v>
      </c>
      <c r="AK4" s="3">
        <v>60000</v>
      </c>
    </row>
    <row r="5" spans="1:37" x14ac:dyDescent="0.25">
      <c r="A5" s="5" t="s">
        <v>13</v>
      </c>
      <c r="B5" s="6">
        <v>0</v>
      </c>
      <c r="C5" t="str">
        <f t="shared" ref="C5:C18" si="0">A5</f>
        <v>CAP PM</v>
      </c>
      <c r="D5" s="3">
        <f>CHOOSE(MATCH(A5,{"Vida PM";"Vida PU";"Prestamista PM";"Prestamista PU";"PREV PM";"PREV PU";"RD PM";"RD PU";"CAP PM";"CAP PU";"Consórcio";"Rapidex PM";"Rapidex PU"},0),INDEX($Y$3:$AK$3,MATCH(B5,$Y$2:$AK$2,1)),INDEX($Y$5:$AK$5,MATCH(B5,$Y$4:$AK$4,1)),INDEX($Y$7:$AK$7,MATCH(B5,$Y$6:$AK$6,1)),INDEX($Y$9:$AK$9,MATCH(B5,$Y$8:$AK$8,1)),INDEX($Y$11:$AK$11,MATCH(B5,$Y$10:$AK$10,1)),INDEX($Y$13:$AK$13,MATCH(B5,$Y$12:$AK$12,1)),INDEX($Y$15:$AK$15,MATCH(B5,$Y$14:$AK$14,1)),INDEX($Y$17:$AK$17,MATCH(B5,$Y$16:$AK$16,1)),INDEX($Y$19:$AK$19,MATCH(B5,$Y$18:$AK$18,1)),INDEX($Y$21:$AK$21,MATCH(B5,$Y$20:$AK$20,1)),INDEX($Y$23:$AK$23,MATCH(B5,$Y$22:$AK$22,1)),INDEX($Y$25:$AK$25,MATCH(B5,$Y$24:$AK$24,1)),INDEX($Y$27:$AK$27,MATCH(B5,$Y$26:$AK$26,1)))</f>
        <v>0</v>
      </c>
      <c r="E5" s="31" t="str">
        <f>INDEX($Y$1:$AK$1,MATCH(B5,$Y$18:$AK$18,1))</f>
        <v>0</v>
      </c>
      <c r="F5" s="3" cm="1">
        <f t="array" ref="F5">IFERROR(INDEX(Y18:AK18,1,E5+2)-B5,0)</f>
        <v>100</v>
      </c>
      <c r="G5" s="3" cm="1">
        <f t="array" ref="G5">IFERROR(INDEX($Y$19:$AK$19,1,$E$5+2),"Já atingiu último gatilho")</f>
        <v>25</v>
      </c>
      <c r="H5" s="55" t="s">
        <v>13</v>
      </c>
      <c r="I5" s="54">
        <v>0</v>
      </c>
      <c r="U5" s="29"/>
      <c r="W5" s="15" t="s">
        <v>13</v>
      </c>
      <c r="X5" t="s">
        <v>21</v>
      </c>
      <c r="Y5" s="8">
        <v>0</v>
      </c>
      <c r="Z5" s="3">
        <v>8.75</v>
      </c>
      <c r="AA5" s="3">
        <v>21.88</v>
      </c>
      <c r="AB5" s="3">
        <v>56.88</v>
      </c>
      <c r="AC5" s="3">
        <v>99</v>
      </c>
      <c r="AD5" s="3">
        <v>148</v>
      </c>
      <c r="AE5" s="3">
        <v>228</v>
      </c>
      <c r="AF5" s="3">
        <v>312</v>
      </c>
      <c r="AG5" s="3">
        <v>410</v>
      </c>
      <c r="AH5" s="3">
        <v>537.5</v>
      </c>
      <c r="AI5" s="3">
        <v>697.5</v>
      </c>
      <c r="AJ5" s="3">
        <v>869.5</v>
      </c>
      <c r="AK5" s="3">
        <v>1440</v>
      </c>
    </row>
    <row r="6" spans="1:37" x14ac:dyDescent="0.25">
      <c r="A6" s="5" t="s">
        <v>14</v>
      </c>
      <c r="B6" s="6">
        <v>0</v>
      </c>
      <c r="C6" s="10" t="str">
        <f t="shared" si="0"/>
        <v>CAP PU</v>
      </c>
      <c r="D6" s="3">
        <f>CHOOSE(MATCH(A6,{"Vida PM";"Vida PU";"Prestamista PM";"Prestamista PU";"PREV PM";"PREV PU";"RD PM";"RD PU";"CAP PM";"CAP PU";"Consórcio";"Rapidex PM";"Rapidex PU"},0),INDEX($Y$3:$AK$3,MATCH(B6,$Y$2:$AK$2,1)),INDEX($Y$5:$AK$5,MATCH(B6,$Y$4:$AK$4,1)),INDEX($Y$7:$AK$7,MATCH(B6,$Y$6:$AK$6,1)),INDEX($Y$9:$AK$9,MATCH(B6,$Y$8:$AK$8,1)),INDEX($Y$11:$AK$11,MATCH(B6,$Y$10:$AK$10,1)),INDEX($Y$13:$AK$13,MATCH(B6,$Y$12:$AK$12,1)),INDEX($Y$15:$AK$15,MATCH(B6,$Y$14:$AK$14,1)),INDEX($Y$17:$AK$17,MATCH(B6,$Y$16:$AK$16,1)),INDEX($Y$19:$AK$19,MATCH(B6,$Y$18:$AK$18,1)),INDEX($Y$21:$AK$21,MATCH(B6,$Y$20:$AK$20,1)),INDEX($Y$23:$AK$23,MATCH(B6,$Y$22:$AK$22,1)),INDEX($Y$25:$AK$25,MATCH(B6,$Y$24:$AK$24,1)),INDEX($Y$27:$AK$27,MATCH(B6,$Y$26:$AK$26,1)))</f>
        <v>0</v>
      </c>
      <c r="E6" s="31" t="str">
        <f>INDEX($Y$1:$AK$1,MATCH(B6,$Y$20:$AK$20,1))</f>
        <v>0</v>
      </c>
      <c r="F6" s="3" cm="1">
        <f t="array" ref="F6">IFERROR(INDEX(Y20:AK20,1,E6+2)-B6,0)</f>
        <v>1200</v>
      </c>
      <c r="G6" s="3" cm="1">
        <f t="array" ref="G6">IFERROR(INDEX($Y$21:$AK$21,1,$E$6+2),"Já atingiu último gatilho")</f>
        <v>4.8</v>
      </c>
      <c r="H6" s="52" t="s">
        <v>14</v>
      </c>
      <c r="I6" s="51">
        <v>0</v>
      </c>
      <c r="U6" s="29"/>
      <c r="W6" s="15" t="s">
        <v>14</v>
      </c>
      <c r="X6" s="7" t="s">
        <v>7</v>
      </c>
      <c r="Y6" s="8">
        <v>0</v>
      </c>
      <c r="Z6" s="3">
        <v>30</v>
      </c>
      <c r="AA6" s="3">
        <v>45</v>
      </c>
      <c r="AB6" s="3">
        <v>80</v>
      </c>
      <c r="AC6" s="3">
        <v>120</v>
      </c>
      <c r="AD6" s="3">
        <v>160</v>
      </c>
      <c r="AE6" s="3">
        <v>210</v>
      </c>
      <c r="AF6" s="3">
        <v>260</v>
      </c>
      <c r="AG6" s="3">
        <v>330</v>
      </c>
      <c r="AH6" s="3">
        <v>420</v>
      </c>
      <c r="AI6" s="3">
        <v>530</v>
      </c>
      <c r="AJ6" s="3">
        <v>650</v>
      </c>
      <c r="AK6" s="3">
        <v>800</v>
      </c>
    </row>
    <row r="7" spans="1:37" x14ac:dyDescent="0.25">
      <c r="A7" s="5" t="s">
        <v>15</v>
      </c>
      <c r="B7" s="6">
        <v>0</v>
      </c>
      <c r="C7" s="10" t="str">
        <f t="shared" si="0"/>
        <v>Consórcio</v>
      </c>
      <c r="D7" s="3">
        <f>CHOOSE(MATCH(A7,{"Vida PM";"Vida PU";"Prestamista PM";"Prestamista PU";"PREV PM";"PREV PU";"RD PM";"RD PU";"CAP PM";"CAP PU";"Consórcio";"Rapidex PM";"Rapidex PU"},0),INDEX($Y$3:$AK$3,MATCH(B7,$Y$2:$AK$2,1)),INDEX($Y$5:$AK$5,MATCH(B7,$Y$4:$AK$4,1)),INDEX($Y$7:$AK$7,MATCH(B7,$Y$6:$AK$6,1)),INDEX($Y$9:$AK$9,MATCH(B7,$Y$8:$AK$8,1)),INDEX($Y$11:$AK$11,MATCH(B7,$Y$10:$AK$10,1)),INDEX($Y$13:$AK$13,MATCH(B7,$Y$12:$AK$12,1)),INDEX($Y$15:$AK$15,MATCH(B7,$Y$14:$AK$14,1)),INDEX($Y$17:$AK$17,MATCH(B7,$Y$16:$AK$16,1)),INDEX($Y$19:$AK$19,MATCH(B7,$Y$18:$AK$18,1)),INDEX($Y$21:$AK$21,MATCH(B7,$Y$20:$AK$20,1)),INDEX($Y$23:$AK$23,MATCH(B7,$Y$22:$AK$22,1)),INDEX($Y$25:$AK$25,MATCH(B7,$Y$24:$AK$24,1)),INDEX($Y$27:$AK$27,MATCH(B7,$Y$26:$AK$26,1)))</f>
        <v>0</v>
      </c>
      <c r="E7" s="31" t="str">
        <f>INDEX($Y$1:$AK$1,MATCH(B7,$Y$22:$AK$22,1))</f>
        <v>0</v>
      </c>
      <c r="F7" s="3" cm="1">
        <f t="array" ref="F7">IFERROR(INDEX(Y22:AK22,1,E7+2)-B7,0)</f>
        <v>40000</v>
      </c>
      <c r="G7" s="3" cm="1">
        <f t="array" ref="G7">IFERROR(INDEX($Y$23:$AK$23,1,$E$7+2),"Já atingiu último gatilho")</f>
        <v>300</v>
      </c>
      <c r="H7" s="52" t="s">
        <v>15</v>
      </c>
      <c r="I7" s="51">
        <v>0</v>
      </c>
      <c r="U7" s="29"/>
      <c r="W7" s="15" t="s">
        <v>15</v>
      </c>
      <c r="X7" t="s">
        <v>21</v>
      </c>
      <c r="Y7" s="8">
        <v>0</v>
      </c>
      <c r="Z7" s="3">
        <v>7.5</v>
      </c>
      <c r="AA7" s="3">
        <v>11.25</v>
      </c>
      <c r="AB7" s="3">
        <v>20</v>
      </c>
      <c r="AC7" s="3">
        <v>30</v>
      </c>
      <c r="AD7" s="3">
        <v>41.6</v>
      </c>
      <c r="AE7" s="3">
        <v>56.7</v>
      </c>
      <c r="AF7" s="3">
        <v>72.8</v>
      </c>
      <c r="AG7" s="3">
        <v>95.7</v>
      </c>
      <c r="AH7" s="3">
        <v>126</v>
      </c>
      <c r="AI7" s="3">
        <v>174.9</v>
      </c>
      <c r="AJ7" s="3">
        <v>227.5</v>
      </c>
      <c r="AK7" s="3">
        <v>304</v>
      </c>
    </row>
    <row r="8" spans="1:37" x14ac:dyDescent="0.25">
      <c r="A8" s="5" t="s">
        <v>7</v>
      </c>
      <c r="B8" s="6">
        <v>0</v>
      </c>
      <c r="C8" s="10" t="str">
        <f t="shared" si="0"/>
        <v>Prestamista PM</v>
      </c>
      <c r="D8" s="3">
        <f>CHOOSE(MATCH(A8,{"Vida PM";"Vida PU";"Prestamista PM";"Prestamista PU";"PREV PM";"PREV PU";"RD PM";"RD PU";"CAP PM";"CAP PU";"Consórcio";"Rapidex PM";"Rapidex PU"},0),INDEX($Y$3:$AK$3,MATCH(B8,$Y$2:$AK$2,1)),INDEX($Y$5:$AK$5,MATCH(B8,$Y$4:$AK$4,1)),INDEX($Y$7:$AK$7,MATCH(B8,$Y$6:$AK$6,1)),INDEX($Y$9:$AK$9,MATCH(B8,$Y$8:$AK$8,1)),INDEX($Y$11:$AK$11,MATCH(B8,$Y$10:$AK$10,1)),INDEX($Y$13:$AK$13,MATCH(B8,$Y$12:$AK$12,1)),INDEX($Y$15:$AK$15,MATCH(B8,$Y$14:$AK$14,1)),INDEX($Y$17:$AK$17,MATCH(B8,$Y$16:$AK$16,1)),INDEX($Y$19:$AK$19,MATCH(B8,$Y$18:$AK$18,1)),INDEX($Y$21:$AK$21,MATCH(B8,$Y$20:$AK$20,1)),INDEX($Y$23:$AK$23,MATCH(B8,$Y$22:$AK$22,1)),INDEX($Y$25:$AK$25,MATCH(B8,$Y$24:$AK$24,1)),INDEX($Y$27:$AK$27,MATCH(B8,$Y$26:$AK$26,1)))</f>
        <v>0</v>
      </c>
      <c r="E8" s="31" t="str">
        <f>INDEX($Y$1:$AK$1,MATCH(B8,$Y$6:$AK$6,1))</f>
        <v>0</v>
      </c>
      <c r="F8" s="3" cm="1">
        <f t="array" ref="F8">IFERROR(INDEX(Y6:AK6,1,E8+2)-B8,0)</f>
        <v>30</v>
      </c>
      <c r="G8" s="3" cm="1">
        <f t="array" ref="G8">IFERROR(INDEX($Y$7:$AK$7,1,$E$8+2),"Já atingiu último gatilho")</f>
        <v>7.5</v>
      </c>
      <c r="H8" s="52" t="s">
        <v>7</v>
      </c>
      <c r="I8" s="51">
        <v>0</v>
      </c>
      <c r="U8" s="29"/>
      <c r="W8" s="15" t="s">
        <v>7</v>
      </c>
      <c r="X8" s="7" t="s">
        <v>8</v>
      </c>
      <c r="Y8" s="8">
        <v>0</v>
      </c>
      <c r="Z8" s="3">
        <v>4000</v>
      </c>
      <c r="AA8" s="3">
        <v>12000</v>
      </c>
      <c r="AB8" s="3">
        <v>25000</v>
      </c>
      <c r="AC8" s="3">
        <v>40000</v>
      </c>
      <c r="AD8" s="3">
        <v>80000</v>
      </c>
      <c r="AE8" s="3">
        <v>120000</v>
      </c>
      <c r="AF8" s="3">
        <v>160000</v>
      </c>
      <c r="AG8" s="3">
        <v>200000</v>
      </c>
      <c r="AH8" s="3">
        <v>250000</v>
      </c>
      <c r="AI8" s="3">
        <v>300000</v>
      </c>
      <c r="AJ8" s="3">
        <v>400000</v>
      </c>
      <c r="AK8" s="3">
        <v>500000</v>
      </c>
    </row>
    <row r="9" spans="1:37" x14ac:dyDescent="0.25">
      <c r="A9" s="5" t="s">
        <v>8</v>
      </c>
      <c r="B9" s="6">
        <v>0</v>
      </c>
      <c r="C9" s="10" t="str">
        <f t="shared" si="0"/>
        <v>Prestamista PU</v>
      </c>
      <c r="D9" s="3">
        <f>CHOOSE(MATCH(A9,{"Vida PM";"Vida PU";"Prestamista PM";"Prestamista PU";"PREV PM";"PREV PU";"RD PM";"RD PU";"CAP PM";"CAP PU";"Consórcio";"Rapidex PM";"Rapidex PU"},0),INDEX($Y$3:$AK$3,MATCH(B9,$Y$2:$AK$2,1)),INDEX($Y$5:$AK$5,MATCH(B9,$Y$4:$AK$4,1)),INDEX($Y$7:$AK$7,MATCH(B9,$Y$6:$AK$6,1)),INDEX($Y$9:$AK$9,MATCH(B9,$Y$8:$AK$8,1)),INDEX($Y$11:$AK$11,MATCH(B9,$Y$10:$AK$10,1)),INDEX($Y$13:$AK$13,MATCH(B9,$Y$12:$AK$12,1)),INDEX($Y$15:$AK$15,MATCH(B9,$Y$14:$AK$14,1)),INDEX($Y$17:$AK$17,MATCH(B9,$Y$16:$AK$16,1)),INDEX($Y$19:$AK$19,MATCH(B9,$Y$18:$AK$18,1)),INDEX($Y$21:$AK$21,MATCH(B9,$Y$20:$AK$20,1)),INDEX($Y$23:$AK$23,MATCH(B9,$Y$22:$AK$22,1)),INDEX($Y$25:$AK$25,MATCH(B9,$Y$24:$AK$24,1)),INDEX($Y$27:$AK$27,MATCH(B9,$Y$26:$AK$26,1)))</f>
        <v>0</v>
      </c>
      <c r="E9" s="31" t="str">
        <f>INDEX($Y$1:$AK$1,MATCH(B9,$Y$8:$AK$8,1))</f>
        <v>0</v>
      </c>
      <c r="F9" s="3" cm="1">
        <f t="array" ref="F9">IFERROR(INDEX(Y8:AK8,1,E9+2)-B9,0)</f>
        <v>4000</v>
      </c>
      <c r="G9" s="3" cm="1">
        <f t="array" ref="G9">IFERROR(INDEX($Y$9:$AK$9,1,$E$9+2),"Já atingiu último gatilho")</f>
        <v>100</v>
      </c>
      <c r="H9" s="52" t="s">
        <v>8</v>
      </c>
      <c r="I9" s="51">
        <v>0</v>
      </c>
      <c r="U9" s="29"/>
      <c r="W9" s="15" t="s">
        <v>8</v>
      </c>
      <c r="X9" t="s">
        <v>21</v>
      </c>
      <c r="Y9" s="8">
        <v>0</v>
      </c>
      <c r="Z9" s="3">
        <v>100</v>
      </c>
      <c r="AA9" s="3">
        <v>300</v>
      </c>
      <c r="AB9" s="3">
        <v>625</v>
      </c>
      <c r="AC9" s="3">
        <v>1040</v>
      </c>
      <c r="AD9" s="3">
        <v>2160</v>
      </c>
      <c r="AE9" s="3">
        <v>3360</v>
      </c>
      <c r="AF9" s="3">
        <v>4640</v>
      </c>
      <c r="AG9" s="3">
        <v>6000</v>
      </c>
      <c r="AH9" s="3">
        <v>7750</v>
      </c>
      <c r="AI9" s="3">
        <v>9900</v>
      </c>
      <c r="AJ9" s="3">
        <v>14000</v>
      </c>
      <c r="AK9" s="3">
        <v>18500</v>
      </c>
    </row>
    <row r="10" spans="1:37" x14ac:dyDescent="0.25">
      <c r="A10" s="5" t="s">
        <v>9</v>
      </c>
      <c r="B10" s="6">
        <v>0</v>
      </c>
      <c r="C10" s="10" t="str">
        <f t="shared" si="0"/>
        <v>PREV PM</v>
      </c>
      <c r="D10" s="3">
        <f>CHOOSE(MATCH(A10,{"Vida PM";"Vida PU";"Prestamista PM";"Prestamista PU";"PREV PM";"PREV PU";"RD PM";"RD PU";"CAP PM";"CAP PU";"Consórcio";"Rapidex PM";"Rapidex PU"},0),INDEX($Y$3:$AK$3,MATCH(B10,$Y$2:$AK$2,1)),INDEX($Y$5:$AK$5,MATCH(B10,$Y$4:$AK$4,1)),INDEX($Y$7:$AK$7,MATCH(B10,$Y$6:$AK$6,1)),INDEX($Y$9:$AK$9,MATCH(B10,$Y$8:$AK$8,1)),INDEX($Y$11:$AK$11,MATCH(B10,$Y$10:$AK$10,1)),INDEX($Y$13:$AK$13,MATCH(B10,$Y$12:$AK$12,1)),INDEX($Y$15:$AK$15,MATCH(B10,$Y$14:$AK$14,1)),INDEX($Y$17:$AK$17,MATCH(B10,$Y$16:$AK$16,1)),INDEX($Y$19:$AK$19,MATCH(B10,$Y$18:$AK$18,1)),INDEX($Y$21:$AK$21,MATCH(B10,$Y$20:$AK$20,1)),INDEX($Y$23:$AK$23,MATCH(B10,$Y$22:$AK$22,1)),INDEX($Y$25:$AK$25,MATCH(B10,$Y$24:$AK$24,1)),INDEX($Y$27:$AK$27,MATCH(B10,$Y$26:$AK$26,1)))</f>
        <v>0</v>
      </c>
      <c r="E10" s="31" t="str">
        <f>INDEX($Y$1:$AK$1,MATCH(B10,$Y$10:$AK$10,1))</f>
        <v>0</v>
      </c>
      <c r="F10" s="3" cm="1">
        <f t="array" ref="F10">IFERROR(INDEX(Y10:AK10,1,E10+2)-B10,0)</f>
        <v>300</v>
      </c>
      <c r="G10" s="3" cm="1">
        <f t="array" ref="G10">IFERROR(INDEX($Y$11:$AK$11,1,$E$10+2),"Já atingiu último gatilho")</f>
        <v>2.5499999999999998</v>
      </c>
      <c r="H10" s="52" t="s">
        <v>9</v>
      </c>
      <c r="I10" s="51">
        <v>0</v>
      </c>
      <c r="U10" s="29"/>
      <c r="W10" s="15" t="s">
        <v>9</v>
      </c>
      <c r="X10" s="7" t="s">
        <v>9</v>
      </c>
      <c r="Y10" s="8">
        <v>0</v>
      </c>
      <c r="Z10" s="3">
        <v>300</v>
      </c>
      <c r="AA10" s="3">
        <v>350</v>
      </c>
      <c r="AB10" s="3">
        <v>1200</v>
      </c>
      <c r="AC10" s="3">
        <v>1800</v>
      </c>
      <c r="AD10" s="3">
        <v>3000</v>
      </c>
      <c r="AE10" s="3">
        <v>5000</v>
      </c>
      <c r="AF10" s="3">
        <v>7500</v>
      </c>
      <c r="AG10" s="3">
        <v>10000</v>
      </c>
      <c r="AH10" s="3">
        <v>12500</v>
      </c>
      <c r="AI10" s="3">
        <v>15000</v>
      </c>
      <c r="AJ10" s="3">
        <v>18000</v>
      </c>
      <c r="AK10" s="3">
        <v>21000</v>
      </c>
    </row>
    <row r="11" spans="1:37" x14ac:dyDescent="0.25">
      <c r="A11" s="5" t="s">
        <v>10</v>
      </c>
      <c r="B11" s="6">
        <v>0</v>
      </c>
      <c r="C11" s="10" t="str">
        <f t="shared" si="0"/>
        <v>PREV PU</v>
      </c>
      <c r="D11" s="3">
        <f>CHOOSE(MATCH(A11,{"Vida PM";"Vida PU";"Prestamista PM";"Prestamista PU";"PREV PM";"PREV PU";"RD PM";"RD PU";"CAP PM";"CAP PU";"Consórcio";"Rapidex PM";"Rapidex PU"},0),INDEX($Y$3:$AK$3,MATCH(B11,$Y$2:$AK$2,1)),INDEX($Y$5:$AK$5,MATCH(B11,$Y$4:$AK$4,1)),INDEX($Y$7:$AK$7,MATCH(B11,$Y$6:$AK$6,1)),INDEX($Y$9:$AK$9,MATCH(B11,$Y$8:$AK$8,1)),INDEX($Y$11:$AK$11,MATCH(B11,$Y$10:$AK$10,1)),INDEX($Y$13:$AK$13,MATCH(B11,$Y$12:$AK$12,1)),INDEX($Y$15:$AK$15,MATCH(B11,$Y$14:$AK$14,1)),INDEX($Y$17:$AK$17,MATCH(B11,$Y$16:$AK$16,1)),INDEX($Y$19:$AK$19,MATCH(B11,$Y$18:$AK$18,1)),INDEX($Y$21:$AK$21,MATCH(B11,$Y$20:$AK$20,1)),INDEX($Y$23:$AK$23,MATCH(B11,$Y$22:$AK$22,1)),INDEX($Y$25:$AK$25,MATCH(B11,$Y$24:$AK$24,1)),INDEX($Y$27:$AK$27,MATCH(B11,$Y$26:$AK$26,1)))</f>
        <v>0</v>
      </c>
      <c r="E11" s="31" t="str">
        <f>INDEX($Y$1:$AK$1,MATCH(B11,$Y$12:$AK$12,1))</f>
        <v>0</v>
      </c>
      <c r="F11" s="3" cm="1">
        <f t="array" ref="F11">IFERROR(INDEX(Y12:AK12,1,E11+2)-B11,0)</f>
        <v>18000</v>
      </c>
      <c r="G11" s="29" cm="1">
        <f t="array" ref="G11">IFERROR(INDEX($Y$13:$AK$13,1,$E$11+2),"Já atingiu último gatilho")</f>
        <v>8.1</v>
      </c>
      <c r="H11" s="52" t="s">
        <v>10</v>
      </c>
      <c r="I11" s="51">
        <v>0</v>
      </c>
      <c r="U11" s="29"/>
      <c r="W11" s="15" t="s">
        <v>10</v>
      </c>
      <c r="X11" t="s">
        <v>21</v>
      </c>
      <c r="Y11" s="8">
        <v>0</v>
      </c>
      <c r="Z11" s="3">
        <v>2.5499999999999998</v>
      </c>
      <c r="AA11" s="3">
        <v>5.66</v>
      </c>
      <c r="AB11" s="3">
        <v>10.68</v>
      </c>
      <c r="AC11" s="3">
        <v>16.38</v>
      </c>
      <c r="AD11" s="3">
        <v>27.9</v>
      </c>
      <c r="AE11" s="3">
        <v>47.5</v>
      </c>
      <c r="AF11" s="3">
        <v>72.25</v>
      </c>
      <c r="AG11" s="3">
        <v>99</v>
      </c>
      <c r="AH11" s="3">
        <v>126.25</v>
      </c>
      <c r="AI11" s="3">
        <v>154.5</v>
      </c>
      <c r="AJ11" s="3">
        <v>189</v>
      </c>
      <c r="AK11" s="3">
        <v>224.7</v>
      </c>
    </row>
    <row r="12" spans="1:37" x14ac:dyDescent="0.25">
      <c r="A12" s="5" t="s">
        <v>24</v>
      </c>
      <c r="B12" s="6">
        <v>0</v>
      </c>
      <c r="C12" s="10" t="str">
        <f t="shared" si="0"/>
        <v>Rapidex PM</v>
      </c>
      <c r="D12" s="3">
        <f>CHOOSE(MATCH(A12,{"Vida PM";"Vida PU";"Prestamista PM";"Prestamista PU";"PREV PM";"PREV PU";"RD PM";"RD PU";"CAP PM";"CAP PU";"Consórcio";"Rapidex PM";"Rapidex PU"},0),INDEX($Y$3:$AK$3,MATCH(B12,$Y$2:$AK$2,1)),INDEX($Y$5:$AK$5,MATCH(B12,$Y$4:$AK$4,1)),INDEX($Y$7:$AK$7,MATCH(B12,$Y$6:$AK$6,1)),INDEX($Y$9:$AK$9,MATCH(B12,$Y$8:$AK$8,1)),INDEX($Y$11:$AK$11,MATCH(B12,$Y$10:$AK$10,1)),INDEX($Y$13:$AK$13,MATCH(B12,$Y$12:$AK$12,1)),INDEX($Y$15:$AK$15,MATCH(B12,$Y$14:$AK$14,1)),INDEX($Y$17:$AK$17,MATCH(B12,$Y$16:$AK$16,1)),INDEX($Y$19:$AK$19,MATCH(B12,$Y$18:$AK$18,1)),INDEX($Y$21:$AK$21,MATCH(B12,$Y$20:$AK$20,1)),INDEX($Y$23:$AK$23,MATCH(B12,$Y$22:$AK$22,1)),INDEX($Y$25:$AK$25,MATCH(B12,$Y$24:$AK$24,1)),INDEX($Y$27:$AK$27,MATCH(B12,$Y$26:$AK$26,1)))</f>
        <v>0</v>
      </c>
      <c r="E12" s="31" t="str">
        <f>INDEX($Y$1:$AK$1,MATCH(B12,$Y$24:$AK$24,1))</f>
        <v>0</v>
      </c>
      <c r="F12" s="3" cm="1">
        <f t="array" ref="F12">IFERROR(INDEX(Y24:AK24,1,E12+2)-B12,0)</f>
        <v>110</v>
      </c>
      <c r="G12" s="3" cm="1">
        <f t="array" ref="G12">IFERROR(INDEX($Y$25:$AK$25,1,$E$12+2),"Já atingiu último gatilho")</f>
        <v>18</v>
      </c>
      <c r="H12" s="52" t="s">
        <v>24</v>
      </c>
      <c r="I12" s="51">
        <v>0</v>
      </c>
      <c r="U12" s="29"/>
      <c r="W12" s="15" t="s">
        <v>24</v>
      </c>
      <c r="X12" s="7" t="s">
        <v>10</v>
      </c>
      <c r="Y12" s="8">
        <v>0</v>
      </c>
      <c r="Z12" s="3">
        <v>18000</v>
      </c>
      <c r="AA12" s="3">
        <v>70000</v>
      </c>
      <c r="AB12" s="3">
        <v>200000</v>
      </c>
      <c r="AC12" s="3">
        <v>450000</v>
      </c>
      <c r="AD12" s="3">
        <v>700000</v>
      </c>
      <c r="AE12" s="3">
        <v>1000000</v>
      </c>
      <c r="AF12" s="3">
        <v>1400000</v>
      </c>
      <c r="AG12" s="3">
        <v>1900000</v>
      </c>
      <c r="AH12" s="3">
        <v>2700000</v>
      </c>
      <c r="AI12" s="3">
        <v>4200000</v>
      </c>
      <c r="AJ12" s="3">
        <v>6000000</v>
      </c>
      <c r="AK12" s="3">
        <v>8000000</v>
      </c>
    </row>
    <row r="13" spans="1:37" x14ac:dyDescent="0.25">
      <c r="A13" s="5" t="s">
        <v>25</v>
      </c>
      <c r="B13" s="6">
        <v>0</v>
      </c>
      <c r="C13" s="10" t="str">
        <f t="shared" si="0"/>
        <v>Rapidex PU</v>
      </c>
      <c r="D13" s="3">
        <f>CHOOSE(MATCH(A13,{"Vida PM";"Vida PU";"Prestamista PM";"Prestamista PU";"PREV PM";"PREV PU";"RD PM";"RD PU";"CAP PM";"CAP PU";"Consórcio";"Rapidex PM";"Rapidex PU"},0),INDEX($Y$3:$AK$3,MATCH(B13,$Y$2:$AK$2,1)),INDEX($Y$5:$AK$5,MATCH(B13,$Y$4:$AK$4,1)),INDEX($Y$7:$AK$7,MATCH(B13,$Y$6:$AK$6,1)),INDEX($Y$9:$AK$9,MATCH(B13,$Y$8:$AK$8,1)),INDEX($Y$11:$AK$11,MATCH(B13,$Y$10:$AK$10,1)),INDEX($Y$13:$AK$13,MATCH(B13,$Y$12:$AK$12,1)),INDEX($Y$15:$AK$15,MATCH(B13,$Y$14:$AK$14,1)),INDEX($Y$17:$AK$17,MATCH(B13,$Y$16:$AK$16,1)),INDEX($Y$19:$AK$19,MATCH(B13,$Y$18:$AK$18,1)),INDEX($Y$21:$AK$21,MATCH(B13,$Y$20:$AK$20,1)),INDEX($Y$23:$AK$23,MATCH(B13,$Y$22:$AK$22,1)),INDEX($Y$25:$AK$25,MATCH(B13,$Y$24:$AK$24,1)),INDEX($Y$27:$AK$27,MATCH(B13,$Y$26:$AK$26,1)))</f>
        <v>0</v>
      </c>
      <c r="E13" s="31" t="str">
        <f>INDEX($Y$1:$AK$1,MATCH(B13,$Y$26:$AK$26,1))</f>
        <v>0</v>
      </c>
      <c r="F13" s="3" cm="1">
        <f t="array" ref="F13">IFERROR(INDEX(Y26:AK26,1,E13+2)-B13,0)</f>
        <v>600</v>
      </c>
      <c r="G13" s="3" cm="1">
        <f t="array" ref="G13">IFERROR(INDEX($Y$27:$AK$27,1,$E$13+2),"Já atingiu último gatilho")</f>
        <v>30</v>
      </c>
      <c r="H13" s="52" t="s">
        <v>25</v>
      </c>
      <c r="I13" s="51">
        <v>0</v>
      </c>
      <c r="U13" s="29"/>
      <c r="W13" s="15" t="s">
        <v>25</v>
      </c>
      <c r="X13" t="s">
        <v>21</v>
      </c>
      <c r="Y13" s="8">
        <v>0</v>
      </c>
      <c r="Z13" s="3">
        <v>8.1</v>
      </c>
      <c r="AA13" s="3">
        <v>31.5</v>
      </c>
      <c r="AB13" s="3">
        <v>90</v>
      </c>
      <c r="AC13" s="3">
        <v>202.5</v>
      </c>
      <c r="AD13" s="3">
        <v>322</v>
      </c>
      <c r="AE13" s="3">
        <v>480</v>
      </c>
      <c r="AF13" s="3">
        <v>700</v>
      </c>
      <c r="AG13" s="3">
        <v>988</v>
      </c>
      <c r="AH13" s="3">
        <v>1485</v>
      </c>
      <c r="AI13" s="3">
        <v>2436</v>
      </c>
      <c r="AJ13" s="3">
        <v>3600</v>
      </c>
      <c r="AK13" s="3">
        <v>5120</v>
      </c>
    </row>
    <row r="14" spans="1:37" x14ac:dyDescent="0.25">
      <c r="A14" s="5" t="s">
        <v>11</v>
      </c>
      <c r="B14" s="6">
        <v>0</v>
      </c>
      <c r="C14" s="10" t="str">
        <f t="shared" si="0"/>
        <v>RD PM</v>
      </c>
      <c r="D14" s="3">
        <f>CHOOSE(MATCH(A14,{"Vida PM";"Vida PU";"Prestamista PM";"Prestamista PU";"PREV PM";"PREV PU";"RD PM";"RD PU";"CAP PM";"CAP PU";"Consórcio";"Rapidex PM";"Rapidex PU"},0),INDEX($Y$3:$AK$3,MATCH(B14,$Y$2:$AK$2,1)),INDEX($Y$5:$AK$5,MATCH(B14,$Y$4:$AK$4,1)),INDEX($Y$7:$AK$7,MATCH(B14,$Y$6:$AK$6,1)),INDEX($Y$9:$AK$9,MATCH(B14,$Y$8:$AK$8,1)),INDEX($Y$11:$AK$11,MATCH(B14,$Y$10:$AK$10,1)),INDEX($Y$13:$AK$13,MATCH(B14,$Y$12:$AK$12,1)),INDEX($Y$15:$AK$15,MATCH(B14,$Y$14:$AK$14,1)),INDEX($Y$17:$AK$17,MATCH(B14,$Y$16:$AK$16,1)),INDEX($Y$19:$AK$19,MATCH(B14,$Y$18:$AK$18,1)),INDEX($Y$21:$AK$21,MATCH(B14,$Y$20:$AK$20,1)),INDEX($Y$23:$AK$23,MATCH(B14,$Y$22:$AK$22,1)),INDEX($Y$25:$AK$25,MATCH(B14,$Y$24:$AK$24,1)),INDEX($Y$27:$AK$27,MATCH(B14,$Y$26:$AK$26,1)))</f>
        <v>0</v>
      </c>
      <c r="E14" s="31" t="str">
        <f>INDEX($Y$1:$AK$1,MATCH(B14,$Y$14:$AK$14,1))</f>
        <v>0</v>
      </c>
      <c r="F14" s="3" cm="1">
        <f t="array" ref="F14">IFERROR(INDEX(Y14:AK14,1,E14+2)-B14,0)</f>
        <v>50</v>
      </c>
      <c r="G14" s="3" cm="1">
        <f t="array" ref="G14">IFERROR(INDEX($Y$14:$AK$14,1,$E$14+2),"Já atingiu último gatilho")</f>
        <v>50</v>
      </c>
      <c r="H14" s="52" t="s">
        <v>11</v>
      </c>
      <c r="I14" s="51">
        <v>0</v>
      </c>
      <c r="U14" s="29"/>
      <c r="W14" s="15" t="s">
        <v>11</v>
      </c>
      <c r="X14" s="7" t="s">
        <v>11</v>
      </c>
      <c r="Y14" s="8">
        <v>0</v>
      </c>
      <c r="Z14" s="3">
        <v>50</v>
      </c>
      <c r="AA14" s="3">
        <v>100</v>
      </c>
      <c r="AB14" s="3">
        <v>150</v>
      </c>
      <c r="AC14" s="3">
        <v>200</v>
      </c>
      <c r="AD14" s="3">
        <v>250</v>
      </c>
      <c r="AE14" s="3">
        <v>350</v>
      </c>
      <c r="AF14" s="3">
        <v>600</v>
      </c>
      <c r="AG14" s="3">
        <v>900</v>
      </c>
      <c r="AH14" s="3">
        <v>1200</v>
      </c>
      <c r="AI14" s="3">
        <v>1600</v>
      </c>
      <c r="AJ14" s="3">
        <v>2000</v>
      </c>
      <c r="AK14" s="3">
        <v>2500</v>
      </c>
    </row>
    <row r="15" spans="1:37" x14ac:dyDescent="0.25">
      <c r="A15" s="5" t="s">
        <v>12</v>
      </c>
      <c r="B15" s="6">
        <v>0</v>
      </c>
      <c r="C15" s="10" t="str">
        <f t="shared" si="0"/>
        <v>RD PU</v>
      </c>
      <c r="D15" s="3">
        <f>CHOOSE(MATCH(A15,{"Vida PM";"Vida PU";"Prestamista PM";"Prestamista PU";"PREV PM";"PREV PU";"RD PM";"RD PU";"CAP PM";"CAP PU";"Consórcio";"Rapidex PM";"Rapidex PU"},0),INDEX($Y$3:$AK$3,MATCH(B15,$Y$2:$AK$2,1)),INDEX($Y$5:$AK$5,MATCH(B15,$Y$4:$AK$4,1)),INDEX($Y$7:$AK$7,MATCH(B15,$Y$6:$AK$6,1)),INDEX($Y$9:$AK$9,MATCH(B15,$Y$8:$AK$8,1)),INDEX($Y$11:$AK$11,MATCH(B15,$Y$10:$AK$10,1)),INDEX($Y$13:$AK$13,MATCH(B15,$Y$12:$AK$12,1)),INDEX($Y$15:$AK$15,MATCH(B15,$Y$14:$AK$14,1)),INDEX($Y$17:$AK$17,MATCH(B15,$Y$16:$AK$16,1)),INDEX($Y$19:$AK$19,MATCH(B15,$Y$18:$AK$18,1)),INDEX($Y$21:$AK$21,MATCH(B15,$Y$20:$AK$20,1)),INDEX($Y$23:$AK$23,MATCH(B15,$Y$22:$AK$22,1)),INDEX($Y$25:$AK$25,MATCH(B15,$Y$24:$AK$24,1)),INDEX($Y$27:$AK$27,MATCH(B15,$Y$26:$AK$26,1)))</f>
        <v>0</v>
      </c>
      <c r="E15" s="31" t="str">
        <f>INDEX($Y$1:$AK$1,MATCH(B15,$Y$16:$AK$16,1))</f>
        <v>0</v>
      </c>
      <c r="F15" s="3" cm="1">
        <f t="array" ref="F15">IFERROR(INDEX(Y16:AK16,1,E15+2)-B15,0)</f>
        <v>700</v>
      </c>
      <c r="G15" s="3" cm="1">
        <f t="array" ref="G15">IFERROR(INDEX($Y$17:$AK$17,1,$E$15+2),"Já atingiu último gatilho")</f>
        <v>36.4</v>
      </c>
      <c r="H15" s="52" t="s">
        <v>12</v>
      </c>
      <c r="I15" s="51">
        <v>0</v>
      </c>
      <c r="U15" s="29"/>
      <c r="W15" s="15" t="s">
        <v>12</v>
      </c>
      <c r="X15" t="s">
        <v>21</v>
      </c>
      <c r="Y15" s="8">
        <v>0</v>
      </c>
      <c r="Z15" s="3">
        <v>2.75</v>
      </c>
      <c r="AA15" s="3">
        <v>5.75</v>
      </c>
      <c r="AB15" s="3">
        <v>9</v>
      </c>
      <c r="AC15" s="3">
        <v>12.5</v>
      </c>
      <c r="AD15" s="3">
        <v>16.25</v>
      </c>
      <c r="AE15" s="3">
        <v>23.63</v>
      </c>
      <c r="AF15" s="3">
        <v>42</v>
      </c>
      <c r="AG15" s="3">
        <v>65.25</v>
      </c>
      <c r="AH15" s="3">
        <v>90</v>
      </c>
      <c r="AI15" s="3">
        <v>128</v>
      </c>
      <c r="AJ15" s="3">
        <v>165</v>
      </c>
      <c r="AK15" s="3">
        <v>212.5</v>
      </c>
    </row>
    <row r="16" spans="1:37" x14ac:dyDescent="0.25">
      <c r="A16" s="5" t="s">
        <v>5</v>
      </c>
      <c r="B16" s="6">
        <v>0</v>
      </c>
      <c r="C16" s="10" t="str">
        <f t="shared" si="0"/>
        <v>Vida PM</v>
      </c>
      <c r="D16" s="3">
        <f>CHOOSE(MATCH(A16,{"Vida PM";"Vida PU";"Prestamista PM";"Prestamista PU";"PREV PM";"PREV PU";"RD PM";"RD PU";"CAP PM";"CAP PU";"Consórcio";"Rapidex PM";"Rapidex PU"},0),INDEX($Y$3:$AK$3,MATCH(B16,$Y$2:$AK$2,1)),INDEX($Y$5:$AK$5,MATCH(B16,$Y$4:$AK$4,1)),INDEX($Y$7:$AK$7,MATCH(B16,$Y$6:$AK$6,1)),INDEX($Y$9:$AK$9,MATCH(B16,$Y$8:$AK$8,1)),INDEX($Y$11:$AK$11,MATCH(B16,$Y$10:$AK$10,1)),INDEX($Y$13:$AK$13,MATCH(B16,$Y$12:$AK$12,1)),INDEX($Y$15:$AK$15,MATCH(B16,$Y$14:$AK$14,1)),INDEX($Y$17:$AK$17,MATCH(B16,$Y$16:$AK$16,1)),INDEX($Y$19:$AK$19,MATCH(B16,$Y$18:$AK$18,1)),INDEX($Y$21:$AK$21,MATCH(B16,$Y$20:$AK$20,1)),INDEX($Y$23:$AK$23,MATCH(B16,$Y$22:$AK$22,1)),INDEX($Y$25:$AK$25,MATCH(B16,$Y$24:$AK$24,1)),INDEX($Y$27:$AK$27,MATCH(B16,$Y$26:$AK$26,1)))</f>
        <v>0</v>
      </c>
      <c r="E16" s="31" t="str">
        <f>INDEX($Y$1:$AK$1,MATCH(B16,$Y$2:$AK$2,1))</f>
        <v>0</v>
      </c>
      <c r="F16" s="3" cm="1">
        <f t="array" ref="F16">IFERROR(INDEX(Y2:AK2,1,E16+2)-B16,0)</f>
        <v>100</v>
      </c>
      <c r="G16" s="3" cm="1">
        <f t="array" ref="G16">IFERROR(INDEX($Y$3:$AK$3,1,$E$16+2),"Já atingiu último gatilho")</f>
        <v>35</v>
      </c>
      <c r="H16" s="52" t="s">
        <v>5</v>
      </c>
      <c r="I16" s="51">
        <v>0</v>
      </c>
      <c r="U16" s="29"/>
      <c r="W16" s="15" t="s">
        <v>5</v>
      </c>
      <c r="X16" s="7" t="s">
        <v>12</v>
      </c>
      <c r="Y16" s="8">
        <v>0</v>
      </c>
      <c r="Z16" s="3">
        <v>700</v>
      </c>
      <c r="AA16" s="3">
        <v>1900</v>
      </c>
      <c r="AB16" s="3">
        <v>4000</v>
      </c>
      <c r="AC16" s="3">
        <v>6500</v>
      </c>
      <c r="AD16" s="3">
        <v>9000</v>
      </c>
      <c r="AE16" s="3">
        <v>13000</v>
      </c>
      <c r="AF16" s="3">
        <v>17500</v>
      </c>
      <c r="AG16" s="3">
        <v>22000</v>
      </c>
      <c r="AH16" s="3">
        <v>27000</v>
      </c>
      <c r="AI16" s="3">
        <v>33000</v>
      </c>
      <c r="AJ16" s="3">
        <v>40000</v>
      </c>
      <c r="AK16" s="3">
        <v>50000</v>
      </c>
    </row>
    <row r="17" spans="1:37" x14ac:dyDescent="0.25">
      <c r="A17" s="5" t="s">
        <v>6</v>
      </c>
      <c r="B17" s="6">
        <v>0</v>
      </c>
      <c r="C17" s="10" t="str">
        <f t="shared" si="0"/>
        <v>Vida PU</v>
      </c>
      <c r="D17" s="3">
        <f>CHOOSE(MATCH(A17,{"Vida PM";"Vida PU";"Prestamista PM";"Prestamista PU";"PREV PM";"PREV PU";"RD PM";"RD PU";"CAP PM";"CAP PU";"Consórcio";"Rapidex PM";"Rapidex PU"},0),INDEX($Y$3:$AK$3,MATCH(B17,$Y$2:$AK$2,1)),INDEX($Y$5:$AK$5,MATCH(B17,$Y$4:$AK$4,1)),INDEX($Y$7:$AK$7,MATCH(B17,$Y$6:$AK$6,1)),INDEX($Y$9:$AK$9,MATCH(B17,$Y$8:$AK$8,1)),INDEX($Y$11:$AK$11,MATCH(B17,$Y$10:$AK$10,1)),INDEX($Y$13:$AK$13,MATCH(B17,$Y$12:$AK$12,1)),INDEX($Y$15:$AK$15,MATCH(B17,$Y$14:$AK$14,1)),INDEX($Y$17:$AK$17,MATCH(B17,$Y$16:$AK$16,1)),INDEX($Y$19:$AK$19,MATCH(B17,$Y$18:$AK$18,1)),INDEX($Y$21:$AK$21,MATCH(B17,$Y$20:$AK$20,1)),INDEX($Y$23:$AK$23,MATCH(B17,$Y$22:$AK$22,1)),INDEX($Y$25:$AK$25,MATCH(B17,$Y$24:$AK$24,1)),INDEX($Y$27:$AK$27,MATCH(B17,$Y$26:$AK$26,1)))</f>
        <v>0</v>
      </c>
      <c r="E17" s="31" t="str">
        <f>INDEX($Y$1:$AK$1,MATCH(B17,$Y4:$AK$4,1))</f>
        <v>0</v>
      </c>
      <c r="F17" s="3" cm="1">
        <f t="array" ref="F17">IFERROR(INDEX(Y4:AK4,1,E17+2)-B17,0)</f>
        <v>500</v>
      </c>
      <c r="G17" s="3" cm="1">
        <f t="array" ref="G17">IFERROR(INDEX($Y$5:$AK$5,1,$E$17+2),"Já atingiu último gatilho")</f>
        <v>8.75</v>
      </c>
      <c r="H17" s="52" t="s">
        <v>6</v>
      </c>
      <c r="I17" s="51">
        <v>0</v>
      </c>
      <c r="U17" s="29"/>
      <c r="W17" s="15" t="s">
        <v>6</v>
      </c>
      <c r="X17" t="s">
        <v>21</v>
      </c>
      <c r="Y17" s="8">
        <v>0</v>
      </c>
      <c r="Z17" s="3">
        <v>36.4</v>
      </c>
      <c r="AA17" s="3">
        <v>100.7</v>
      </c>
      <c r="AB17" s="3">
        <v>220</v>
      </c>
      <c r="AC17" s="3">
        <v>364</v>
      </c>
      <c r="AD17" s="3">
        <v>508.5</v>
      </c>
      <c r="AE17" s="3">
        <v>741</v>
      </c>
      <c r="AF17" s="3">
        <v>1015</v>
      </c>
      <c r="AG17" s="3">
        <v>1287</v>
      </c>
      <c r="AH17" s="3">
        <v>1593</v>
      </c>
      <c r="AI17" s="3">
        <v>1963.5</v>
      </c>
      <c r="AJ17" s="3">
        <v>2400</v>
      </c>
      <c r="AK17" s="3">
        <v>3025</v>
      </c>
    </row>
    <row r="18" spans="1:37" x14ac:dyDescent="0.25">
      <c r="A18" s="5" t="s">
        <v>30</v>
      </c>
      <c r="B18" s="6"/>
      <c r="C18" s="27" t="str">
        <f t="shared" si="0"/>
        <v>(vazio)</v>
      </c>
      <c r="D18" s="28">
        <f>SUM(D5:D17)</f>
        <v>0</v>
      </c>
      <c r="E18" s="12"/>
      <c r="F18" s="13"/>
      <c r="G18" s="14"/>
      <c r="H18" s="47" t="s">
        <v>17</v>
      </c>
      <c r="I18" s="48">
        <v>0</v>
      </c>
      <c r="X18" s="7" t="s">
        <v>13</v>
      </c>
      <c r="Y18" s="8">
        <v>0</v>
      </c>
      <c r="Z18" s="3">
        <v>100</v>
      </c>
      <c r="AA18" s="3">
        <v>280</v>
      </c>
      <c r="AB18" s="3">
        <v>550</v>
      </c>
      <c r="AC18" s="3">
        <v>900</v>
      </c>
      <c r="AD18" s="3">
        <v>1300</v>
      </c>
      <c r="AE18" s="3">
        <v>1900</v>
      </c>
      <c r="AF18" s="3">
        <v>2700</v>
      </c>
      <c r="AG18" s="3">
        <v>3800</v>
      </c>
      <c r="AH18" s="3">
        <v>5000</v>
      </c>
      <c r="AI18" s="3">
        <v>6500</v>
      </c>
      <c r="AJ18" s="3">
        <v>9500</v>
      </c>
      <c r="AK18" s="3">
        <v>13000</v>
      </c>
    </row>
    <row r="19" spans="1:37" x14ac:dyDescent="0.25">
      <c r="A19" s="25" t="s">
        <v>17</v>
      </c>
      <c r="B19" s="26">
        <v>0</v>
      </c>
      <c r="X19" t="s">
        <v>21</v>
      </c>
      <c r="Y19" s="8">
        <v>0</v>
      </c>
      <c r="Z19" s="3">
        <v>25</v>
      </c>
      <c r="AA19" s="3">
        <v>70</v>
      </c>
      <c r="AB19" s="3">
        <v>137.5</v>
      </c>
      <c r="AC19" s="3">
        <v>225</v>
      </c>
      <c r="AD19" s="3">
        <v>338</v>
      </c>
      <c r="AE19" s="3">
        <v>513</v>
      </c>
      <c r="AF19" s="3">
        <v>756</v>
      </c>
      <c r="AG19" s="3">
        <v>1102</v>
      </c>
      <c r="AH19" s="3">
        <v>1500</v>
      </c>
      <c r="AI19" s="3">
        <v>2080</v>
      </c>
      <c r="AJ19" s="3">
        <v>3182.5</v>
      </c>
      <c r="AK19" s="3">
        <v>4550</v>
      </c>
    </row>
    <row r="20" spans="1:37" x14ac:dyDescent="0.25">
      <c r="X20" s="7" t="s">
        <v>14</v>
      </c>
      <c r="Y20" s="8">
        <v>0</v>
      </c>
      <c r="Z20" s="3">
        <v>1200</v>
      </c>
      <c r="AA20" s="3">
        <v>3600</v>
      </c>
      <c r="AB20" s="3">
        <v>7000</v>
      </c>
      <c r="AC20" s="3">
        <v>11000</v>
      </c>
      <c r="AD20" s="3">
        <v>15000</v>
      </c>
      <c r="AE20" s="3">
        <v>20000</v>
      </c>
      <c r="AF20" s="3">
        <v>25000</v>
      </c>
      <c r="AG20" s="3">
        <v>30000</v>
      </c>
      <c r="AH20" s="3">
        <v>36000</v>
      </c>
      <c r="AI20" s="3">
        <v>42000</v>
      </c>
      <c r="AJ20" s="3">
        <v>55000</v>
      </c>
      <c r="AK20" s="3">
        <v>70000</v>
      </c>
    </row>
    <row r="21" spans="1:37" ht="15" customHeight="1" x14ac:dyDescent="0.25">
      <c r="A21" s="11"/>
      <c r="B21" s="11"/>
      <c r="C21" s="11"/>
      <c r="D21" s="11"/>
      <c r="E21" s="11"/>
      <c r="F21" s="11"/>
      <c r="G21" s="11"/>
      <c r="X21" t="s">
        <v>21</v>
      </c>
      <c r="Y21" s="8">
        <v>0</v>
      </c>
      <c r="Z21" s="3">
        <v>4.8</v>
      </c>
      <c r="AA21" s="3">
        <v>14.4</v>
      </c>
      <c r="AB21" s="3">
        <v>28.7</v>
      </c>
      <c r="AC21" s="3">
        <v>45.1</v>
      </c>
      <c r="AD21" s="3">
        <v>63</v>
      </c>
      <c r="AE21" s="3">
        <v>84</v>
      </c>
      <c r="AF21" s="3">
        <v>110</v>
      </c>
      <c r="AG21" s="3">
        <v>141</v>
      </c>
      <c r="AH21" s="3">
        <v>180</v>
      </c>
      <c r="AI21" s="3">
        <v>222.6</v>
      </c>
      <c r="AJ21" s="3">
        <v>308</v>
      </c>
      <c r="AK21" s="3">
        <v>408.33</v>
      </c>
    </row>
    <row r="22" spans="1:37" ht="15" customHeight="1" x14ac:dyDescent="0.25">
      <c r="A22" s="11"/>
      <c r="B22" s="11"/>
      <c r="C22" s="11"/>
      <c r="D22" s="11"/>
      <c r="E22" s="11"/>
      <c r="F22" s="11"/>
      <c r="G22" s="11"/>
      <c r="X22" s="7" t="s">
        <v>15</v>
      </c>
      <c r="Y22" s="8">
        <v>0</v>
      </c>
      <c r="Z22" s="3">
        <v>40000</v>
      </c>
      <c r="AA22" s="3">
        <v>90000</v>
      </c>
      <c r="AB22" s="3">
        <v>160000</v>
      </c>
      <c r="AC22" s="3">
        <v>280000</v>
      </c>
      <c r="AD22" s="3">
        <v>450000</v>
      </c>
      <c r="AE22" s="3">
        <v>650000</v>
      </c>
      <c r="AF22" s="3">
        <v>900000</v>
      </c>
      <c r="AG22" s="3">
        <v>1150000</v>
      </c>
      <c r="AH22" s="3">
        <v>1400000</v>
      </c>
      <c r="AI22" s="3">
        <v>1700000</v>
      </c>
      <c r="AJ22" s="3">
        <v>2200000</v>
      </c>
      <c r="AK22" s="3">
        <v>3000000</v>
      </c>
    </row>
    <row r="23" spans="1:37" ht="15" customHeight="1" x14ac:dyDescent="0.25">
      <c r="A23" s="11"/>
      <c r="B23" s="11"/>
      <c r="C23" s="11"/>
      <c r="D23" s="11"/>
      <c r="E23" s="11"/>
      <c r="F23" s="11"/>
      <c r="G23" s="11"/>
      <c r="X23" t="s">
        <v>21</v>
      </c>
      <c r="Y23" s="8">
        <v>0</v>
      </c>
      <c r="Z23" s="3">
        <v>300</v>
      </c>
      <c r="AA23" s="3">
        <v>720</v>
      </c>
      <c r="AB23" s="3">
        <v>1360</v>
      </c>
      <c r="AC23" s="3">
        <v>2520</v>
      </c>
      <c r="AD23" s="3">
        <v>4275</v>
      </c>
      <c r="AE23" s="3">
        <v>6500</v>
      </c>
      <c r="AF23" s="3">
        <v>9450</v>
      </c>
      <c r="AG23" s="3">
        <v>12650</v>
      </c>
      <c r="AH23" s="3">
        <v>16100</v>
      </c>
      <c r="AI23" s="3">
        <v>20400</v>
      </c>
      <c r="AJ23" s="3">
        <v>27500</v>
      </c>
      <c r="AK23" s="3">
        <v>39000</v>
      </c>
    </row>
    <row r="24" spans="1:37" ht="15" customHeight="1" x14ac:dyDescent="0.25">
      <c r="A24" s="11"/>
      <c r="B24" s="11"/>
      <c r="C24" s="11"/>
      <c r="D24" s="11"/>
      <c r="E24" s="11"/>
      <c r="F24" s="11"/>
      <c r="G24" s="11"/>
      <c r="X24" s="7" t="s">
        <v>24</v>
      </c>
      <c r="Y24" s="8">
        <v>0</v>
      </c>
      <c r="Z24" s="3">
        <v>110</v>
      </c>
      <c r="AA24" s="3">
        <v>180</v>
      </c>
      <c r="AB24" s="3">
        <v>280</v>
      </c>
      <c r="AC24" s="3">
        <v>370</v>
      </c>
      <c r="AD24" s="3">
        <v>470</v>
      </c>
      <c r="AE24" s="3">
        <v>550</v>
      </c>
      <c r="AF24" s="3">
        <v>610</v>
      </c>
      <c r="AG24" s="3">
        <v>690</v>
      </c>
      <c r="AH24" s="3">
        <v>800</v>
      </c>
      <c r="AI24" s="3">
        <v>1300</v>
      </c>
      <c r="AJ24" s="3">
        <v>2200</v>
      </c>
      <c r="AK24" s="3">
        <v>3000</v>
      </c>
    </row>
    <row r="25" spans="1:37" x14ac:dyDescent="0.25">
      <c r="X25" t="s">
        <v>23</v>
      </c>
      <c r="Y25" s="8">
        <v>0</v>
      </c>
      <c r="Z25" s="3">
        <v>18</v>
      </c>
      <c r="AA25" s="3">
        <v>32</v>
      </c>
      <c r="AB25" s="3">
        <v>52</v>
      </c>
      <c r="AC25" s="3">
        <v>70</v>
      </c>
      <c r="AD25" s="3">
        <v>80</v>
      </c>
      <c r="AE25" s="3">
        <v>100</v>
      </c>
      <c r="AF25" s="3">
        <v>110</v>
      </c>
      <c r="AG25" s="3">
        <v>130</v>
      </c>
      <c r="AH25" s="3">
        <v>150</v>
      </c>
      <c r="AI25" s="3">
        <v>230</v>
      </c>
      <c r="AJ25" s="3">
        <v>400</v>
      </c>
      <c r="AK25" s="3">
        <v>600</v>
      </c>
    </row>
    <row r="26" spans="1:37" x14ac:dyDescent="0.25">
      <c r="X26" s="7" t="s">
        <v>25</v>
      </c>
      <c r="Y26" s="8">
        <v>0</v>
      </c>
      <c r="Z26" s="3">
        <v>600</v>
      </c>
      <c r="AA26" s="3">
        <v>800</v>
      </c>
      <c r="AB26" s="3">
        <v>1100</v>
      </c>
      <c r="AC26" s="3">
        <v>1300</v>
      </c>
      <c r="AD26" s="3">
        <v>1500</v>
      </c>
      <c r="AE26" s="3">
        <v>1800</v>
      </c>
      <c r="AF26" s="3">
        <v>2200</v>
      </c>
      <c r="AG26" s="3">
        <v>2600</v>
      </c>
      <c r="AH26" s="3">
        <v>3100</v>
      </c>
      <c r="AI26" s="3">
        <v>4000</v>
      </c>
      <c r="AJ26" s="3">
        <v>5500</v>
      </c>
      <c r="AK26" s="3">
        <v>8000</v>
      </c>
    </row>
    <row r="27" spans="1:37" x14ac:dyDescent="0.25">
      <c r="X27" t="s">
        <v>21</v>
      </c>
      <c r="Y27" s="8">
        <v>0</v>
      </c>
      <c r="Z27" s="3">
        <v>30</v>
      </c>
      <c r="AA27" s="3">
        <v>50</v>
      </c>
      <c r="AB27" s="3">
        <v>80</v>
      </c>
      <c r="AC27" s="3">
        <v>100</v>
      </c>
      <c r="AD27" s="3">
        <v>120</v>
      </c>
      <c r="AE27" s="3">
        <v>150</v>
      </c>
      <c r="AF27" s="3">
        <v>180</v>
      </c>
      <c r="AG27" s="3">
        <v>210</v>
      </c>
      <c r="AH27" s="3">
        <v>250</v>
      </c>
      <c r="AI27" s="3">
        <v>300</v>
      </c>
      <c r="AJ27" s="3">
        <v>500</v>
      </c>
      <c r="AK27" s="3">
        <v>700</v>
      </c>
    </row>
  </sheetData>
  <mergeCells count="1">
    <mergeCell ref="W1:W4"/>
  </mergeCells>
  <phoneticPr fontId="3" type="noConversion"/>
  <pageMargins left="0.511811024" right="0.511811024" top="0.78740157499999996" bottom="0.78740157499999996" header="0.31496062000000002" footer="0.31496062000000002"/>
  <pageSetup paperSize="9" orientation="portrait" verticalDpi="0" r:id="rId3"/>
  <drawing r:id="rId4"/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Vendas</vt:lpstr>
      <vt:lpstr>Gráfico</vt:lpstr>
      <vt:lpstr>Configurações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Lima</dc:creator>
  <cp:lastModifiedBy>Rafael Lima</cp:lastModifiedBy>
  <dcterms:created xsi:type="dcterms:W3CDTF">2015-06-05T18:19:34Z</dcterms:created>
  <dcterms:modified xsi:type="dcterms:W3CDTF">2025-01-23T02:00:54Z</dcterms:modified>
</cp:coreProperties>
</file>